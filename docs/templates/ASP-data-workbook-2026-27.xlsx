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0.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1.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2.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3.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4.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ian/Downloads/"/>
    </mc:Choice>
  </mc:AlternateContent>
  <xr:revisionPtr revIDLastSave="0" documentId="13_ncr:1_{4158940C-E245-6942-8682-160F12564254}" xr6:coauthVersionLast="47" xr6:coauthVersionMax="47" xr10:uidLastSave="{00000000-0000-0000-0000-000000000000}"/>
  <bookViews>
    <workbookView xWindow="-57800" yWindow="-1360" windowWidth="45440" windowHeight="41120" firstSheet="2" activeTab="15" xr2:uid="{00000000-000D-0000-FFFF-FFFF00000000}"/>
  </bookViews>
  <sheets>
    <sheet name="Contents" sheetId="1" r:id="rId1"/>
    <sheet name="Notes on chart use" sheetId="17" r:id="rId2"/>
    <sheet name="1 ASP REFERRALS" sheetId="2" r:id="rId3"/>
    <sheet name="2-3 INQUIRIES" sheetId="3" r:id="rId4"/>
    <sheet name="Conversion data" sheetId="15" r:id="rId5"/>
    <sheet name="4 CCs" sheetId="4" r:id="rId6"/>
    <sheet name="5-7 CC ATTENDEES" sheetId="5" r:id="rId7"/>
    <sheet name="8-9 ASPPs &amp; POWERS" sheetId="6" r:id="rId8"/>
    <sheet name="10-11 ACTIONS TAKEN" sheetId="7" r:id="rId9"/>
    <sheet name="13 AGE &amp; GENDER" sheetId="8" r:id="rId10"/>
    <sheet name="14 ETHNICITY" sheetId="9" r:id="rId11"/>
    <sheet name="15 TYPES OF HARM" sheetId="10" r:id="rId12"/>
    <sheet name="16 LOCATION OF HARM" sheetId="11" r:id="rId13"/>
    <sheet name="17 CLIENT GROUP" sheetId="12" r:id="rId14"/>
    <sheet name="18 CARING RESPONSIBILITIES" sheetId="13" r:id="rId15"/>
    <sheet name="19 LSIs" sheetId="14"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9" roundtripDataChecksum="YC5A+ZsXq1Q/PJlNsnCVNUvRX/3AK6GmYUQKKQFQc9g="/>
    </ext>
  </extLst>
</workbook>
</file>

<file path=xl/calcChain.xml><?xml version="1.0" encoding="utf-8"?>
<calcChain xmlns="http://schemas.openxmlformats.org/spreadsheetml/2006/main">
  <c r="A31" i="5" l="1"/>
  <c r="C27" i="9" l="1"/>
  <c r="C26"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AF27" i="9"/>
  <c r="AG27" i="9"/>
  <c r="AH27" i="9"/>
  <c r="AI27" i="9"/>
  <c r="AJ27" i="9"/>
  <c r="AK27" i="9"/>
  <c r="AL27"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AF26" i="9"/>
  <c r="AG26" i="9"/>
  <c r="AH26" i="9"/>
  <c r="AI26" i="9"/>
  <c r="AJ26" i="9"/>
  <c r="AK26" i="9"/>
  <c r="AL26" i="9"/>
  <c r="C46" i="8"/>
  <c r="D46" i="8"/>
  <c r="E46"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AI46" i="8"/>
  <c r="AJ46" i="8"/>
  <c r="AK46" i="8"/>
  <c r="AL46" i="8"/>
  <c r="C47" i="8"/>
  <c r="D47" i="8"/>
  <c r="E47"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AI47" i="8"/>
  <c r="AJ47" i="8"/>
  <c r="AK47" i="8"/>
  <c r="AL47" i="8"/>
  <c r="C48" i="8"/>
  <c r="D48" i="8"/>
  <c r="E48"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AI48" i="8"/>
  <c r="AJ48" i="8"/>
  <c r="AK48" i="8"/>
  <c r="AL48" i="8"/>
  <c r="C49" i="8"/>
  <c r="D49" i="8"/>
  <c r="E49"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AI49" i="8"/>
  <c r="AJ49" i="8"/>
  <c r="AK49" i="8"/>
  <c r="AL49" i="8"/>
  <c r="C25" i="5"/>
  <c r="D25" i="5"/>
  <c r="E25" i="5"/>
  <c r="F25" i="5"/>
  <c r="G25" i="5"/>
  <c r="H25" i="5"/>
  <c r="I25" i="5"/>
  <c r="J25" i="5"/>
  <c r="K25" i="5"/>
  <c r="L25" i="5"/>
  <c r="M25" i="5"/>
  <c r="N25" i="5"/>
  <c r="O25" i="5"/>
  <c r="P25" i="5"/>
  <c r="Q25" i="5"/>
  <c r="R25" i="5"/>
  <c r="S25" i="5"/>
  <c r="T25" i="5"/>
  <c r="U25" i="5"/>
  <c r="V25" i="5"/>
  <c r="W25" i="5"/>
  <c r="X25" i="5"/>
  <c r="Y25" i="5"/>
  <c r="Z25" i="5"/>
  <c r="AA25" i="5"/>
  <c r="AB25" i="5"/>
  <c r="AC25" i="5"/>
  <c r="AD25" i="5"/>
  <c r="AE25" i="5"/>
  <c r="AF25" i="5"/>
  <c r="AG25" i="5"/>
  <c r="AH25" i="5"/>
  <c r="AI25" i="5"/>
  <c r="AJ25" i="5"/>
  <c r="AK25" i="5"/>
  <c r="AL25" i="5"/>
  <c r="C28" i="5"/>
  <c r="D28" i="5"/>
  <c r="E28" i="5"/>
  <c r="F28" i="5"/>
  <c r="G28" i="5"/>
  <c r="H28" i="5"/>
  <c r="I28" i="5"/>
  <c r="J28" i="5"/>
  <c r="K28" i="5"/>
  <c r="L28" i="5"/>
  <c r="M28" i="5"/>
  <c r="N28" i="5"/>
  <c r="O28" i="5"/>
  <c r="P28" i="5"/>
  <c r="Q28" i="5"/>
  <c r="R28" i="5"/>
  <c r="S28" i="5"/>
  <c r="T28" i="5"/>
  <c r="U28" i="5"/>
  <c r="V28" i="5"/>
  <c r="W28" i="5"/>
  <c r="X28" i="5"/>
  <c r="Y28" i="5"/>
  <c r="Z28" i="5"/>
  <c r="AA28" i="5"/>
  <c r="AB28" i="5"/>
  <c r="AC28" i="5"/>
  <c r="AD28" i="5"/>
  <c r="AE28" i="5"/>
  <c r="AF28" i="5"/>
  <c r="AG28" i="5"/>
  <c r="AH28" i="5"/>
  <c r="AI28" i="5"/>
  <c r="AJ28" i="5"/>
  <c r="AK28" i="5"/>
  <c r="AL28" i="5"/>
  <c r="C19" i="1"/>
  <c r="A19" i="1"/>
  <c r="D10" i="15"/>
  <c r="E10" i="15"/>
  <c r="F10" i="15"/>
  <c r="G10" i="15"/>
  <c r="H10" i="15"/>
  <c r="I10" i="15"/>
  <c r="J10" i="15"/>
  <c r="K10" i="15"/>
  <c r="L10" i="15"/>
  <c r="M10" i="15"/>
  <c r="N10" i="15"/>
  <c r="O10" i="15"/>
  <c r="P10" i="15"/>
  <c r="Q10" i="15"/>
  <c r="R10" i="15"/>
  <c r="S10" i="15"/>
  <c r="T10" i="15"/>
  <c r="U10" i="15"/>
  <c r="V10" i="15"/>
  <c r="W10" i="15"/>
  <c r="X10" i="15"/>
  <c r="Y10" i="15"/>
  <c r="Z10" i="15"/>
  <c r="AA10" i="15"/>
  <c r="AB10" i="15"/>
  <c r="AC10" i="15"/>
  <c r="AD10" i="15"/>
  <c r="AE10" i="15"/>
  <c r="AF10" i="15"/>
  <c r="AG10" i="15"/>
  <c r="AH10" i="15"/>
  <c r="AI10" i="15"/>
  <c r="AJ10" i="15"/>
  <c r="AK10" i="15"/>
  <c r="AL10" i="15"/>
  <c r="C10" i="15"/>
  <c r="D9" i="15"/>
  <c r="E9" i="15"/>
  <c r="F9" i="15"/>
  <c r="G9" i="15"/>
  <c r="H9" i="15"/>
  <c r="I9" i="15"/>
  <c r="J9" i="15"/>
  <c r="K9" i="15"/>
  <c r="L9" i="15"/>
  <c r="M9" i="15"/>
  <c r="N9" i="15"/>
  <c r="O9" i="15"/>
  <c r="P9" i="15"/>
  <c r="Q9" i="15"/>
  <c r="R9" i="15"/>
  <c r="S9" i="15"/>
  <c r="T9" i="15"/>
  <c r="U9" i="15"/>
  <c r="V9" i="15"/>
  <c r="W9" i="15"/>
  <c r="X9" i="15"/>
  <c r="Y9" i="15"/>
  <c r="Z9" i="15"/>
  <c r="AA9" i="15"/>
  <c r="AB9" i="15"/>
  <c r="AC9" i="15"/>
  <c r="AD9" i="15"/>
  <c r="AE9" i="15"/>
  <c r="AF9" i="15"/>
  <c r="AG9" i="15"/>
  <c r="AH9" i="15"/>
  <c r="AI9" i="15"/>
  <c r="AJ9" i="15"/>
  <c r="AK9" i="15"/>
  <c r="AL9" i="15"/>
  <c r="C9" i="15"/>
  <c r="A10" i="15"/>
  <c r="A12" i="15" s="1"/>
  <c r="A9" i="15"/>
  <c r="A11" i="15" s="1"/>
  <c r="C24" i="1"/>
  <c r="A24" i="1"/>
  <c r="D7" i="15"/>
  <c r="D22" i="3" s="1"/>
  <c r="E7" i="15"/>
  <c r="F7" i="15"/>
  <c r="F22" i="3" s="1"/>
  <c r="G7" i="15"/>
  <c r="G23" i="3" s="1"/>
  <c r="H7" i="15"/>
  <c r="H23" i="3" s="1"/>
  <c r="I7" i="15"/>
  <c r="I23" i="3" s="1"/>
  <c r="J7" i="15"/>
  <c r="J23" i="3" s="1"/>
  <c r="K7" i="15"/>
  <c r="K22" i="3" s="1"/>
  <c r="L7" i="15"/>
  <c r="L22" i="3" s="1"/>
  <c r="M7" i="15"/>
  <c r="M22" i="3" s="1"/>
  <c r="N7" i="15"/>
  <c r="N22" i="3" s="1"/>
  <c r="O7" i="15"/>
  <c r="O23" i="3" s="1"/>
  <c r="P7" i="15"/>
  <c r="P23" i="3" s="1"/>
  <c r="Q7" i="15"/>
  <c r="R7" i="15"/>
  <c r="R23" i="3" s="1"/>
  <c r="S7" i="15"/>
  <c r="T7" i="15"/>
  <c r="T22" i="3" s="1"/>
  <c r="U7" i="15"/>
  <c r="U22" i="3" s="1"/>
  <c r="V7" i="15"/>
  <c r="V22" i="3" s="1"/>
  <c r="W7" i="15"/>
  <c r="W23" i="3" s="1"/>
  <c r="X7" i="15"/>
  <c r="X23" i="3" s="1"/>
  <c r="Y7" i="15"/>
  <c r="Y23" i="3" s="1"/>
  <c r="Z7" i="15"/>
  <c r="Z23" i="3" s="1"/>
  <c r="AA7" i="15"/>
  <c r="AA22" i="3" s="1"/>
  <c r="AB7" i="15"/>
  <c r="AB22" i="3" s="1"/>
  <c r="AC7" i="15"/>
  <c r="AC22" i="3" s="1"/>
  <c r="AD7" i="15"/>
  <c r="AD22" i="3" s="1"/>
  <c r="AE7" i="15"/>
  <c r="AE23" i="3" s="1"/>
  <c r="AF7" i="15"/>
  <c r="AF23" i="3" s="1"/>
  <c r="AG7" i="15"/>
  <c r="AG23" i="3" s="1"/>
  <c r="AH7" i="15"/>
  <c r="AH23" i="3" s="1"/>
  <c r="AI7" i="15"/>
  <c r="AI22" i="3" s="1"/>
  <c r="AJ7" i="15"/>
  <c r="AJ22" i="3" s="1"/>
  <c r="AK7" i="15"/>
  <c r="AK22" i="3" s="1"/>
  <c r="AL7" i="15"/>
  <c r="AL22" i="3" s="1"/>
  <c r="C7" i="15"/>
  <c r="C22" i="3" s="1"/>
  <c r="E22" i="3" l="1"/>
  <c r="E23" i="3"/>
  <c r="Q23" i="3"/>
  <c r="Q22" i="3"/>
  <c r="S22" i="3"/>
  <c r="S23" i="3"/>
  <c r="X22" i="3"/>
  <c r="M23" i="3"/>
  <c r="W22" i="3"/>
  <c r="C23" i="3"/>
  <c r="O22" i="3"/>
  <c r="I22" i="3"/>
  <c r="AC23" i="3"/>
  <c r="AE22" i="3"/>
  <c r="H22" i="3"/>
  <c r="P22" i="3"/>
  <c r="AG22" i="3"/>
  <c r="AK23" i="3"/>
  <c r="AF22" i="3"/>
  <c r="U23" i="3"/>
  <c r="Y22" i="3"/>
  <c r="G22" i="3"/>
  <c r="AL23" i="3"/>
  <c r="AD23" i="3"/>
  <c r="V23" i="3"/>
  <c r="N23" i="3"/>
  <c r="F23" i="3"/>
  <c r="AH22" i="3"/>
  <c r="Z22" i="3"/>
  <c r="R22" i="3"/>
  <c r="J22" i="3"/>
  <c r="AA23" i="3"/>
  <c r="AJ23" i="3"/>
  <c r="AB23" i="3"/>
  <c r="T23" i="3"/>
  <c r="L23" i="3"/>
  <c r="D23" i="3"/>
  <c r="AI23" i="3"/>
  <c r="K23" i="3"/>
  <c r="C39" i="2"/>
  <c r="C6" i="15" s="1"/>
  <c r="D39" i="2"/>
  <c r="D6" i="15" s="1"/>
  <c r="E39" i="2"/>
  <c r="E6" i="15" s="1"/>
  <c r="F39" i="2"/>
  <c r="F6" i="15" s="1"/>
  <c r="AI54" i="12"/>
  <c r="AJ54" i="12"/>
  <c r="AK54" i="12"/>
  <c r="AL54" i="12"/>
  <c r="AB55" i="12"/>
  <c r="AD55" i="12"/>
  <c r="AH55" i="12"/>
  <c r="AI55" i="12"/>
  <c r="AJ55" i="12"/>
  <c r="AK55" i="12"/>
  <c r="AL55" i="12"/>
  <c r="T54" i="11"/>
  <c r="U54" i="11"/>
  <c r="V54" i="11"/>
  <c r="AB54" i="11"/>
  <c r="AC54" i="11"/>
  <c r="AD54" i="11"/>
  <c r="AI54" i="11"/>
  <c r="AJ54" i="11"/>
  <c r="AK54" i="11"/>
  <c r="AL54" i="11"/>
  <c r="U55" i="11"/>
  <c r="V55" i="11"/>
  <c r="W55" i="11"/>
  <c r="X55" i="11"/>
  <c r="Z55" i="11"/>
  <c r="AC55" i="11"/>
  <c r="AD55" i="11"/>
  <c r="AE55" i="11"/>
  <c r="AF55" i="11"/>
  <c r="AH55" i="11"/>
  <c r="AI55" i="11"/>
  <c r="AJ55" i="11"/>
  <c r="AK55" i="11"/>
  <c r="AL55" i="11"/>
  <c r="EB16" i="8"/>
  <c r="AI35" i="10"/>
  <c r="AI57" i="10" s="1"/>
  <c r="AJ35" i="10"/>
  <c r="AJ57" i="10" s="1"/>
  <c r="AK35" i="10"/>
  <c r="AK57" i="10" s="1"/>
  <c r="AL35" i="10"/>
  <c r="AL57" i="10" s="1"/>
  <c r="AI19" i="10"/>
  <c r="AI56" i="10" s="1"/>
  <c r="AJ19" i="10"/>
  <c r="AJ56" i="10" s="1"/>
  <c r="AK19" i="10"/>
  <c r="AK56" i="10" s="1"/>
  <c r="AL19" i="10"/>
  <c r="AL56" i="10" s="1"/>
  <c r="AI14" i="9"/>
  <c r="AI19" i="9" s="1"/>
  <c r="AJ14" i="9"/>
  <c r="AJ19" i="9" s="1"/>
  <c r="AK14" i="9"/>
  <c r="AK19" i="9" s="1"/>
  <c r="AL14" i="9"/>
  <c r="AL19" i="9" s="1"/>
  <c r="FZ18" i="8"/>
  <c r="FZ17" i="8"/>
  <c r="FZ16" i="8"/>
  <c r="FZ15" i="8"/>
  <c r="FZ14" i="8"/>
  <c r="FZ13" i="8"/>
  <c r="FZ12" i="8"/>
  <c r="FZ11" i="8"/>
  <c r="FZ10" i="8"/>
  <c r="FZ9" i="8"/>
  <c r="FZ8" i="8"/>
  <c r="FZ7" i="8"/>
  <c r="FU18" i="8"/>
  <c r="FU17" i="8"/>
  <c r="FU16" i="8"/>
  <c r="FU15" i="8"/>
  <c r="FU14" i="8"/>
  <c r="FU13" i="8"/>
  <c r="FU12" i="8"/>
  <c r="FU11" i="8"/>
  <c r="FU10" i="8"/>
  <c r="FU9" i="8"/>
  <c r="FU8" i="8"/>
  <c r="FU7" i="8"/>
  <c r="FP18" i="8"/>
  <c r="FP17" i="8"/>
  <c r="FP16" i="8"/>
  <c r="FP15" i="8"/>
  <c r="FP14" i="8"/>
  <c r="FP13" i="8"/>
  <c r="FP12" i="8"/>
  <c r="FP11" i="8"/>
  <c r="FP10" i="8"/>
  <c r="FP9" i="8"/>
  <c r="FP8" i="8"/>
  <c r="FP7" i="8"/>
  <c r="FK18" i="8"/>
  <c r="FK17" i="8"/>
  <c r="FK16" i="8"/>
  <c r="FK15" i="8"/>
  <c r="FK14" i="8"/>
  <c r="FK13" i="8"/>
  <c r="FK12" i="8"/>
  <c r="FK11" i="8"/>
  <c r="FK10" i="8"/>
  <c r="FK9" i="8"/>
  <c r="FK8" i="8"/>
  <c r="FK7" i="8"/>
  <c r="FF18" i="8"/>
  <c r="FF17" i="8"/>
  <c r="FF16" i="8"/>
  <c r="FF15" i="8"/>
  <c r="FF14" i="8"/>
  <c r="FF13" i="8"/>
  <c r="FF12" i="8"/>
  <c r="FF11" i="8"/>
  <c r="FF10" i="8"/>
  <c r="FF9" i="8"/>
  <c r="FF8" i="8"/>
  <c r="FF7" i="8"/>
  <c r="FA18" i="8"/>
  <c r="FA17" i="8"/>
  <c r="FA16" i="8"/>
  <c r="FA15" i="8"/>
  <c r="FA14" i="8"/>
  <c r="FA13" i="8"/>
  <c r="FA12" i="8"/>
  <c r="FA11" i="8"/>
  <c r="FA10" i="8"/>
  <c r="FA9" i="8"/>
  <c r="FA8" i="8"/>
  <c r="FA7" i="8"/>
  <c r="EV18" i="8"/>
  <c r="EV17" i="8"/>
  <c r="EV16" i="8"/>
  <c r="EV15" i="8"/>
  <c r="EV14" i="8"/>
  <c r="EV13" i="8"/>
  <c r="EV12" i="8"/>
  <c r="EV11" i="8"/>
  <c r="EV10" i="8"/>
  <c r="EV9" i="8"/>
  <c r="EV8" i="8"/>
  <c r="EV7" i="8"/>
  <c r="EQ18" i="8"/>
  <c r="EQ17" i="8"/>
  <c r="EQ16" i="8"/>
  <c r="EQ15" i="8"/>
  <c r="EQ14" i="8"/>
  <c r="EQ13" i="8"/>
  <c r="EQ12" i="8"/>
  <c r="EQ11" i="8"/>
  <c r="EQ10" i="8"/>
  <c r="EQ9" i="8"/>
  <c r="EQ8" i="8"/>
  <c r="EQ7" i="8"/>
  <c r="EL18" i="8"/>
  <c r="EL17" i="8"/>
  <c r="EL16" i="8"/>
  <c r="EL15" i="8"/>
  <c r="EL14" i="8"/>
  <c r="EL13" i="8"/>
  <c r="EL12" i="8"/>
  <c r="EL11" i="8"/>
  <c r="EL10" i="8"/>
  <c r="EL9" i="8"/>
  <c r="EL8" i="8"/>
  <c r="EL7" i="8"/>
  <c r="EG18" i="8"/>
  <c r="EG17" i="8"/>
  <c r="EG16" i="8"/>
  <c r="EG15" i="8"/>
  <c r="EG14" i="8"/>
  <c r="EG13" i="8"/>
  <c r="EG12" i="8"/>
  <c r="EG11" i="8"/>
  <c r="EG10" i="8"/>
  <c r="EG9" i="8"/>
  <c r="EG8" i="8"/>
  <c r="EG7" i="8"/>
  <c r="EB18" i="8"/>
  <c r="EB17" i="8"/>
  <c r="EB15" i="8"/>
  <c r="EB14" i="8"/>
  <c r="EB13" i="8"/>
  <c r="EB12" i="8"/>
  <c r="EB11" i="8"/>
  <c r="EB10" i="8"/>
  <c r="EB9" i="8"/>
  <c r="EB8" i="8"/>
  <c r="EB7" i="8"/>
  <c r="DW18" i="8"/>
  <c r="DW17" i="8"/>
  <c r="DW16" i="8"/>
  <c r="DW15" i="8"/>
  <c r="DW14" i="8"/>
  <c r="DW13" i="8"/>
  <c r="DW12" i="8"/>
  <c r="DW11" i="8"/>
  <c r="DW10" i="8"/>
  <c r="DW9" i="8"/>
  <c r="DW8" i="8"/>
  <c r="DW7" i="8"/>
  <c r="DR18" i="8"/>
  <c r="DR17" i="8"/>
  <c r="DR16" i="8"/>
  <c r="DR15" i="8"/>
  <c r="DR14" i="8"/>
  <c r="DR13" i="8"/>
  <c r="DR12" i="8"/>
  <c r="DR11" i="8"/>
  <c r="DR10" i="8"/>
  <c r="DR9" i="8"/>
  <c r="DR8" i="8"/>
  <c r="DR7" i="8"/>
  <c r="DM18" i="8"/>
  <c r="DM17" i="8"/>
  <c r="DM16" i="8"/>
  <c r="DM15" i="8"/>
  <c r="DM14" i="8"/>
  <c r="DM13" i="8"/>
  <c r="DM12" i="8"/>
  <c r="DM11" i="8"/>
  <c r="DM10" i="8"/>
  <c r="DM9" i="8"/>
  <c r="DM8" i="8"/>
  <c r="DM7" i="8"/>
  <c r="DH18" i="8"/>
  <c r="DH17" i="8"/>
  <c r="DH16" i="8"/>
  <c r="DH15" i="8"/>
  <c r="DH14" i="8"/>
  <c r="DH13" i="8"/>
  <c r="DH12" i="8"/>
  <c r="DH11" i="8"/>
  <c r="DH10" i="8"/>
  <c r="DH9" i="8"/>
  <c r="DH8" i="8"/>
  <c r="DH7" i="8"/>
  <c r="DC18" i="8"/>
  <c r="DC17" i="8"/>
  <c r="DC16" i="8"/>
  <c r="DC15" i="8"/>
  <c r="DC14" i="8"/>
  <c r="DC13" i="8"/>
  <c r="DC12" i="8"/>
  <c r="DC11" i="8"/>
  <c r="DC10" i="8"/>
  <c r="DC9" i="8"/>
  <c r="DC8" i="8"/>
  <c r="DC7" i="8"/>
  <c r="CX18" i="8"/>
  <c r="CX17" i="8"/>
  <c r="CX16" i="8"/>
  <c r="CX15" i="8"/>
  <c r="CX14" i="8"/>
  <c r="CX13" i="8"/>
  <c r="CX12" i="8"/>
  <c r="CX11" i="8"/>
  <c r="CX10" i="8"/>
  <c r="CX9" i="8"/>
  <c r="CX8" i="8"/>
  <c r="CX7" i="8"/>
  <c r="CS7" i="8"/>
  <c r="CS8" i="8"/>
  <c r="CS9" i="8"/>
  <c r="CS10" i="8"/>
  <c r="CS11" i="8"/>
  <c r="CS12" i="8"/>
  <c r="CS13" i="8"/>
  <c r="CS14" i="8"/>
  <c r="CS15" i="8"/>
  <c r="CS16" i="8"/>
  <c r="CS17" i="8"/>
  <c r="CS18" i="8"/>
  <c r="CI7" i="8"/>
  <c r="CN7" i="8"/>
  <c r="CI8" i="8"/>
  <c r="CN8" i="8"/>
  <c r="CI9" i="8"/>
  <c r="CN9" i="8"/>
  <c r="CI10" i="8"/>
  <c r="CN10" i="8"/>
  <c r="CI11" i="8"/>
  <c r="CN11" i="8"/>
  <c r="CI12" i="8"/>
  <c r="CN12" i="8"/>
  <c r="CI13" i="8"/>
  <c r="CN13" i="8"/>
  <c r="CI14" i="8"/>
  <c r="CN14" i="8"/>
  <c r="CI15" i="8"/>
  <c r="CN15" i="8"/>
  <c r="CI16" i="8"/>
  <c r="CN16" i="8"/>
  <c r="CI17" i="8"/>
  <c r="CN17" i="8"/>
  <c r="CI18" i="8"/>
  <c r="CN18" i="8"/>
  <c r="S23" i="7"/>
  <c r="S26" i="7" s="1"/>
  <c r="T23" i="7"/>
  <c r="T26" i="7" s="1"/>
  <c r="U23" i="7"/>
  <c r="U26" i="7" s="1"/>
  <c r="V23" i="7"/>
  <c r="V26" i="7" s="1"/>
  <c r="W23" i="7"/>
  <c r="W26" i="7" s="1"/>
  <c r="X23" i="7"/>
  <c r="X26" i="7" s="1"/>
  <c r="Y23" i="7"/>
  <c r="Y26" i="7" s="1"/>
  <c r="Z23" i="7"/>
  <c r="Z26" i="7" s="1"/>
  <c r="AA23" i="7"/>
  <c r="AA26" i="7" s="1"/>
  <c r="AB23" i="7"/>
  <c r="AB26" i="7" s="1"/>
  <c r="AC23" i="7"/>
  <c r="AC26" i="7" s="1"/>
  <c r="AD23" i="7"/>
  <c r="AD26" i="7" s="1"/>
  <c r="AE23" i="7"/>
  <c r="AE26" i="7" s="1"/>
  <c r="AF23" i="7"/>
  <c r="AF26" i="7" s="1"/>
  <c r="AG23" i="7"/>
  <c r="AG26" i="7" s="1"/>
  <c r="AH23" i="7"/>
  <c r="AH26" i="7" s="1"/>
  <c r="AI23" i="7"/>
  <c r="AI26" i="7" s="1"/>
  <c r="AJ23" i="7"/>
  <c r="AK23" i="7"/>
  <c r="AL23" i="7"/>
  <c r="AL13" i="7"/>
  <c r="AL25" i="7" s="1"/>
  <c r="S13" i="7"/>
  <c r="T13" i="7"/>
  <c r="T25" i="7" s="1"/>
  <c r="U13" i="7"/>
  <c r="U25" i="7" s="1"/>
  <c r="V13" i="7"/>
  <c r="V25" i="7" s="1"/>
  <c r="W13" i="7"/>
  <c r="W25" i="7" s="1"/>
  <c r="X13" i="7"/>
  <c r="X25" i="7" s="1"/>
  <c r="Y13" i="7"/>
  <c r="Z13" i="7"/>
  <c r="AA13" i="7"/>
  <c r="AB13" i="7"/>
  <c r="AB25" i="7" s="1"/>
  <c r="AC13" i="7"/>
  <c r="AC25" i="7" s="1"/>
  <c r="AD13" i="7"/>
  <c r="AD25" i="7" s="1"/>
  <c r="AE13" i="7"/>
  <c r="AE25" i="7" s="1"/>
  <c r="AF13" i="7"/>
  <c r="AF25" i="7" s="1"/>
  <c r="AG13" i="7"/>
  <c r="AH13" i="7"/>
  <c r="AI13" i="7"/>
  <c r="AJ13" i="7"/>
  <c r="AJ25" i="7" s="1"/>
  <c r="AK13" i="7"/>
  <c r="AK25" i="7" s="1"/>
  <c r="AL9" i="4"/>
  <c r="S9" i="4"/>
  <c r="T9" i="4"/>
  <c r="U9" i="4"/>
  <c r="V9" i="4"/>
  <c r="W9" i="4"/>
  <c r="X9" i="4"/>
  <c r="Y9" i="4"/>
  <c r="Z9" i="4"/>
  <c r="AA9" i="4"/>
  <c r="AB9" i="4"/>
  <c r="AC9" i="4"/>
  <c r="AD9" i="4"/>
  <c r="AE9" i="4"/>
  <c r="AF9" i="4"/>
  <c r="AG9" i="4"/>
  <c r="AH9" i="4"/>
  <c r="AI9" i="4"/>
  <c r="AJ9" i="4"/>
  <c r="AK9" i="4"/>
  <c r="AI39" i="2"/>
  <c r="AI6" i="15" s="1"/>
  <c r="AJ39" i="2"/>
  <c r="AJ6" i="15" s="1"/>
  <c r="AK39" i="2"/>
  <c r="AK6" i="15" s="1"/>
  <c r="AL39" i="2"/>
  <c r="AL6" i="15" s="1"/>
  <c r="AI15" i="14"/>
  <c r="AJ15" i="14"/>
  <c r="AK15" i="14"/>
  <c r="AL15" i="14"/>
  <c r="S14" i="9"/>
  <c r="S19" i="9" s="1"/>
  <c r="T14" i="9"/>
  <c r="T19" i="9" s="1"/>
  <c r="U14" i="9"/>
  <c r="U19" i="9" s="1"/>
  <c r="V14" i="9"/>
  <c r="V19" i="9" s="1"/>
  <c r="W14" i="9"/>
  <c r="W19" i="9" s="1"/>
  <c r="X14" i="9"/>
  <c r="X19" i="9" s="1"/>
  <c r="Y14" i="9"/>
  <c r="Y19" i="9" s="1"/>
  <c r="Z14" i="9"/>
  <c r="Z19" i="9" s="1"/>
  <c r="AA14" i="9"/>
  <c r="AA19" i="9" s="1"/>
  <c r="AB14" i="9"/>
  <c r="AB19" i="9" s="1"/>
  <c r="AC14" i="9"/>
  <c r="AC19" i="9" s="1"/>
  <c r="AD14" i="9"/>
  <c r="AD19" i="9" s="1"/>
  <c r="AE14" i="9"/>
  <c r="AE19" i="9" s="1"/>
  <c r="AF14" i="9"/>
  <c r="AF19" i="9" s="1"/>
  <c r="AG14" i="9"/>
  <c r="AG19" i="9" s="1"/>
  <c r="AH14" i="9"/>
  <c r="AH19" i="9" s="1"/>
  <c r="S35" i="10"/>
  <c r="S57" i="10" s="1"/>
  <c r="T35" i="10"/>
  <c r="T57" i="10" s="1"/>
  <c r="U35" i="10"/>
  <c r="U57" i="10" s="1"/>
  <c r="V35" i="10"/>
  <c r="V57" i="10" s="1"/>
  <c r="W35" i="10"/>
  <c r="W57" i="10" s="1"/>
  <c r="X35" i="10"/>
  <c r="X57" i="10" s="1"/>
  <c r="Y35" i="10"/>
  <c r="Y57" i="10" s="1"/>
  <c r="Z35" i="10"/>
  <c r="Z57" i="10" s="1"/>
  <c r="AA35" i="10"/>
  <c r="AA57" i="10" s="1"/>
  <c r="AB35" i="10"/>
  <c r="AB57" i="10" s="1"/>
  <c r="AC35" i="10"/>
  <c r="AC57" i="10" s="1"/>
  <c r="AD35" i="10"/>
  <c r="AD57" i="10" s="1"/>
  <c r="AE35" i="10"/>
  <c r="AE57" i="10" s="1"/>
  <c r="AF35" i="10"/>
  <c r="AF57" i="10" s="1"/>
  <c r="AG35" i="10"/>
  <c r="AG57" i="10" s="1"/>
  <c r="AH35" i="10"/>
  <c r="AH57" i="10" s="1"/>
  <c r="S19" i="10"/>
  <c r="S56" i="10" s="1"/>
  <c r="T19" i="10"/>
  <c r="T56" i="10" s="1"/>
  <c r="U19" i="10"/>
  <c r="U56" i="10" s="1"/>
  <c r="V19" i="10"/>
  <c r="V56" i="10" s="1"/>
  <c r="W19" i="10"/>
  <c r="W56" i="10" s="1"/>
  <c r="X19" i="10"/>
  <c r="X56" i="10" s="1"/>
  <c r="Y19" i="10"/>
  <c r="Y56" i="10" s="1"/>
  <c r="Z19" i="10"/>
  <c r="Z56" i="10" s="1"/>
  <c r="AA19" i="10"/>
  <c r="AA56" i="10" s="1"/>
  <c r="AB19" i="10"/>
  <c r="AB56" i="10" s="1"/>
  <c r="AC19" i="10"/>
  <c r="AC56" i="10" s="1"/>
  <c r="AD19" i="10"/>
  <c r="AD56" i="10" s="1"/>
  <c r="AE19" i="10"/>
  <c r="AE56" i="10" s="1"/>
  <c r="AF19" i="10"/>
  <c r="AF56" i="10" s="1"/>
  <c r="AG19" i="10"/>
  <c r="AG56" i="10" s="1"/>
  <c r="AH19" i="10"/>
  <c r="AH56" i="10" s="1"/>
  <c r="S33" i="11"/>
  <c r="S55" i="11" s="1"/>
  <c r="T33" i="11"/>
  <c r="T55" i="11" s="1"/>
  <c r="U33" i="11"/>
  <c r="V33" i="11"/>
  <c r="W33" i="11"/>
  <c r="X33" i="11"/>
  <c r="Y33" i="11"/>
  <c r="Y55" i="11" s="1"/>
  <c r="Z33" i="11"/>
  <c r="AA33" i="11"/>
  <c r="AA55" i="11" s="1"/>
  <c r="AB33" i="11"/>
  <c r="AB55" i="11" s="1"/>
  <c r="AC33" i="11"/>
  <c r="AD33" i="11"/>
  <c r="AE33" i="11"/>
  <c r="AF33" i="11"/>
  <c r="AG33" i="11"/>
  <c r="AG55" i="11" s="1"/>
  <c r="AH33" i="11"/>
  <c r="S18" i="11"/>
  <c r="S54" i="11" s="1"/>
  <c r="T18" i="11"/>
  <c r="U18" i="11"/>
  <c r="V18" i="11"/>
  <c r="W18" i="11"/>
  <c r="W54" i="11" s="1"/>
  <c r="X18" i="11"/>
  <c r="X54" i="11" s="1"/>
  <c r="Y18" i="11"/>
  <c r="Y54" i="11" s="1"/>
  <c r="Z18" i="11"/>
  <c r="Z54" i="11" s="1"/>
  <c r="AA18" i="11"/>
  <c r="AA54" i="11" s="1"/>
  <c r="AB18" i="11"/>
  <c r="AC18" i="11"/>
  <c r="AD18" i="11"/>
  <c r="AE18" i="11"/>
  <c r="AE54" i="11" s="1"/>
  <c r="AF18" i="11"/>
  <c r="AF54" i="11" s="1"/>
  <c r="AG18" i="11"/>
  <c r="AG54" i="11" s="1"/>
  <c r="AH18" i="11"/>
  <c r="AH54" i="11" s="1"/>
  <c r="S33" i="12"/>
  <c r="S55" i="12" s="1"/>
  <c r="T33" i="12"/>
  <c r="T55" i="12" s="1"/>
  <c r="U33" i="12"/>
  <c r="U55" i="12" s="1"/>
  <c r="V33" i="12"/>
  <c r="V55" i="12" s="1"/>
  <c r="W33" i="12"/>
  <c r="W55" i="12" s="1"/>
  <c r="X33" i="12"/>
  <c r="X55" i="12" s="1"/>
  <c r="Y33" i="12"/>
  <c r="Y55" i="12" s="1"/>
  <c r="Z33" i="12"/>
  <c r="Z55" i="12" s="1"/>
  <c r="AA33" i="12"/>
  <c r="AA55" i="12" s="1"/>
  <c r="AB33" i="12"/>
  <c r="AC33" i="12"/>
  <c r="AC55" i="12" s="1"/>
  <c r="AD33" i="12"/>
  <c r="AE33" i="12"/>
  <c r="AE55" i="12" s="1"/>
  <c r="AF33" i="12"/>
  <c r="AF55" i="12" s="1"/>
  <c r="AG33" i="12"/>
  <c r="AG55" i="12" s="1"/>
  <c r="AH33" i="12"/>
  <c r="S18" i="12"/>
  <c r="S54" i="12" s="1"/>
  <c r="T18" i="12"/>
  <c r="T54" i="12" s="1"/>
  <c r="U18" i="12"/>
  <c r="U54" i="12" s="1"/>
  <c r="V18" i="12"/>
  <c r="V54" i="12" s="1"/>
  <c r="W18" i="12"/>
  <c r="W54" i="12" s="1"/>
  <c r="X18" i="12"/>
  <c r="X54" i="12" s="1"/>
  <c r="Y18" i="12"/>
  <c r="Y54" i="12" s="1"/>
  <c r="Z18" i="12"/>
  <c r="Z54" i="12" s="1"/>
  <c r="AA18" i="12"/>
  <c r="AA54" i="12" s="1"/>
  <c r="AB18" i="12"/>
  <c r="AB54" i="12" s="1"/>
  <c r="AC18" i="12"/>
  <c r="AC54" i="12" s="1"/>
  <c r="AD18" i="12"/>
  <c r="AD54" i="12" s="1"/>
  <c r="AE18" i="12"/>
  <c r="AE54" i="12" s="1"/>
  <c r="AF18" i="12"/>
  <c r="AF54" i="12" s="1"/>
  <c r="AG18" i="12"/>
  <c r="AG54" i="12" s="1"/>
  <c r="AH18" i="12"/>
  <c r="AH54" i="12" s="1"/>
  <c r="S15" i="14"/>
  <c r="T15" i="14"/>
  <c r="U15" i="14"/>
  <c r="V15" i="14"/>
  <c r="W15" i="14"/>
  <c r="X15" i="14"/>
  <c r="Y15" i="14"/>
  <c r="Z15" i="14"/>
  <c r="AA15" i="14"/>
  <c r="AB15" i="14"/>
  <c r="AC15" i="14"/>
  <c r="AD15" i="14"/>
  <c r="AE15" i="14"/>
  <c r="AF15" i="14"/>
  <c r="AG15" i="14"/>
  <c r="AH15" i="14"/>
  <c r="S39" i="2"/>
  <c r="S6" i="15" s="1"/>
  <c r="T39" i="2"/>
  <c r="T6" i="15" s="1"/>
  <c r="U39" i="2"/>
  <c r="U6" i="15" s="1"/>
  <c r="V39" i="2"/>
  <c r="V6" i="15" s="1"/>
  <c r="W39" i="2"/>
  <c r="W6" i="15" s="1"/>
  <c r="X39" i="2"/>
  <c r="X6" i="15" s="1"/>
  <c r="Y39" i="2"/>
  <c r="Y6" i="15" s="1"/>
  <c r="Z39" i="2"/>
  <c r="Z6" i="15" s="1"/>
  <c r="AA39" i="2"/>
  <c r="AA6" i="15" s="1"/>
  <c r="AB39" i="2"/>
  <c r="AB6" i="15" s="1"/>
  <c r="AC39" i="2"/>
  <c r="AC6" i="15" s="1"/>
  <c r="AD39" i="2"/>
  <c r="AD6" i="15" s="1"/>
  <c r="AE39" i="2"/>
  <c r="AE6" i="15" s="1"/>
  <c r="AF39" i="2"/>
  <c r="AF6" i="15" s="1"/>
  <c r="AG39" i="2"/>
  <c r="AG6" i="15" s="1"/>
  <c r="AH39" i="2"/>
  <c r="AH6" i="15" s="1"/>
  <c r="W32" i="8" l="1" a="1"/>
  <c r="Y32" i="8" a="1"/>
  <c r="AA32" i="8" a="1"/>
  <c r="S32" i="8" a="1"/>
  <c r="AC32" i="8" a="1"/>
  <c r="AE32" i="8" a="1"/>
  <c r="AG32" i="8" a="1"/>
  <c r="AI32" i="8" a="1"/>
  <c r="AK32" i="8" a="1"/>
  <c r="AL32" i="8" a="1"/>
  <c r="U32" i="8" a="1"/>
  <c r="AJ32" i="8" a="1"/>
  <c r="V32" i="8" a="1"/>
  <c r="X32" i="8" a="1"/>
  <c r="AB32" i="8" a="1"/>
  <c r="AD32" i="8" a="1"/>
  <c r="AH32" i="8" a="1"/>
  <c r="Z32" i="8" a="1"/>
  <c r="AF32" i="8" a="1"/>
  <c r="T32" i="8" a="1"/>
  <c r="AK11" i="15"/>
  <c r="AK8" i="15"/>
  <c r="AK12" i="15"/>
  <c r="AB8" i="15"/>
  <c r="AB12" i="15"/>
  <c r="AB11" i="15"/>
  <c r="AJ12" i="15"/>
  <c r="AJ8" i="15"/>
  <c r="AJ11" i="15"/>
  <c r="AI12" i="15"/>
  <c r="AI8" i="15"/>
  <c r="AI11" i="15"/>
  <c r="AH12" i="15"/>
  <c r="AH8" i="15"/>
  <c r="AH11" i="15"/>
  <c r="Z12" i="15"/>
  <c r="Z8" i="15"/>
  <c r="Z11" i="15"/>
  <c r="Y12" i="15"/>
  <c r="Y11" i="15"/>
  <c r="Y8" i="15"/>
  <c r="X11" i="15"/>
  <c r="X8" i="15"/>
  <c r="X12" i="15"/>
  <c r="AA12" i="15"/>
  <c r="AA8" i="15"/>
  <c r="AA11" i="15"/>
  <c r="AG12" i="15"/>
  <c r="AG8" i="15"/>
  <c r="AG11" i="15"/>
  <c r="AF11" i="15"/>
  <c r="AF12" i="15"/>
  <c r="AF8" i="15"/>
  <c r="AE8" i="15"/>
  <c r="AE11" i="15"/>
  <c r="AE12" i="15"/>
  <c r="W11" i="15"/>
  <c r="W8" i="15"/>
  <c r="W12" i="15"/>
  <c r="AC11" i="15"/>
  <c r="AC8" i="15"/>
  <c r="AC12" i="15"/>
  <c r="AD12" i="15"/>
  <c r="AD11" i="15"/>
  <c r="AD8" i="15"/>
  <c r="V11" i="15"/>
  <c r="V12" i="15"/>
  <c r="V8" i="15"/>
  <c r="AL12" i="15"/>
  <c r="AL8" i="15"/>
  <c r="AL11" i="15"/>
  <c r="F8" i="15"/>
  <c r="F11" i="15"/>
  <c r="F12" i="15"/>
  <c r="E11" i="15"/>
  <c r="E8" i="15"/>
  <c r="E12" i="15"/>
  <c r="D11" i="15"/>
  <c r="D12" i="15"/>
  <c r="D8" i="15"/>
  <c r="U11" i="15"/>
  <c r="U8" i="15"/>
  <c r="U12" i="15"/>
  <c r="T8" i="15"/>
  <c r="T12" i="15"/>
  <c r="T11" i="15"/>
  <c r="S11" i="15"/>
  <c r="S12" i="15"/>
  <c r="S8" i="15"/>
  <c r="C11" i="15"/>
  <c r="C12" i="15"/>
  <c r="C8" i="15"/>
  <c r="CI19" i="8"/>
  <c r="FA19" i="8"/>
  <c r="CN19" i="8"/>
  <c r="FF19" i="8"/>
  <c r="FZ19" i="8"/>
  <c r="AI25" i="7"/>
  <c r="AH25" i="7"/>
  <c r="AJ26" i="7"/>
  <c r="AA25" i="7"/>
  <c r="AL26" i="7"/>
  <c r="Z25" i="7"/>
  <c r="AK26" i="7"/>
  <c r="S25" i="7"/>
  <c r="AG25" i="7"/>
  <c r="Y25" i="7"/>
  <c r="FU19" i="8"/>
  <c r="FP19" i="8"/>
  <c r="FK19" i="8"/>
  <c r="EV19" i="8"/>
  <c r="EL19" i="8"/>
  <c r="EG19" i="8"/>
  <c r="EQ19" i="8"/>
  <c r="EB19" i="8"/>
  <c r="DR19" i="8"/>
  <c r="DW19" i="8"/>
  <c r="DM19" i="8"/>
  <c r="DH19" i="8"/>
  <c r="DC19" i="8"/>
  <c r="CX19" i="8"/>
  <c r="CS19" i="8"/>
  <c r="A72" i="14"/>
  <c r="A71" i="14"/>
  <c r="A68" i="14"/>
  <c r="A62" i="14"/>
  <c r="C61" i="14"/>
  <c r="A61" i="14"/>
  <c r="A45" i="14"/>
  <c r="A36" i="14"/>
  <c r="A27" i="14"/>
  <c r="A18" i="14"/>
  <c r="R15" i="14"/>
  <c r="Q15" i="14"/>
  <c r="P15" i="14"/>
  <c r="O15" i="14"/>
  <c r="N15" i="14"/>
  <c r="M15" i="14"/>
  <c r="L15" i="14"/>
  <c r="K15" i="14"/>
  <c r="J15" i="14"/>
  <c r="I15" i="14"/>
  <c r="H15" i="14"/>
  <c r="G15" i="14"/>
  <c r="F15" i="14"/>
  <c r="E15" i="14"/>
  <c r="D15" i="14"/>
  <c r="C15" i="14"/>
  <c r="A6" i="14"/>
  <c r="A33" i="13"/>
  <c r="A30" i="13"/>
  <c r="A23" i="13"/>
  <c r="A10" i="13"/>
  <c r="A5" i="13"/>
  <c r="A71" i="12"/>
  <c r="A68" i="12"/>
  <c r="A61" i="12"/>
  <c r="A43" i="12"/>
  <c r="A36" i="12"/>
  <c r="R33" i="12"/>
  <c r="R55" i="12" s="1"/>
  <c r="Q33" i="12"/>
  <c r="Q55" i="12" s="1"/>
  <c r="P33" i="12"/>
  <c r="P55" i="12" s="1"/>
  <c r="O33" i="12"/>
  <c r="O55" i="12" s="1"/>
  <c r="N33" i="12"/>
  <c r="N55" i="12" s="1"/>
  <c r="M33" i="12"/>
  <c r="M55" i="12" s="1"/>
  <c r="L33" i="12"/>
  <c r="L55" i="12" s="1"/>
  <c r="K33" i="12"/>
  <c r="K55" i="12" s="1"/>
  <c r="J33" i="12"/>
  <c r="J55" i="12" s="1"/>
  <c r="I33" i="12"/>
  <c r="I55" i="12" s="1"/>
  <c r="H33" i="12"/>
  <c r="H55" i="12" s="1"/>
  <c r="G33" i="12"/>
  <c r="G55" i="12" s="1"/>
  <c r="F33" i="12"/>
  <c r="F55" i="12" s="1"/>
  <c r="E33" i="12"/>
  <c r="E55" i="12" s="1"/>
  <c r="D33" i="12"/>
  <c r="D55" i="12" s="1"/>
  <c r="C33" i="12"/>
  <c r="C55" i="12" s="1"/>
  <c r="A20" i="12"/>
  <c r="R18" i="12"/>
  <c r="R54" i="12" s="1"/>
  <c r="Q18" i="12"/>
  <c r="Q54" i="12" s="1"/>
  <c r="P18" i="12"/>
  <c r="P54" i="12" s="1"/>
  <c r="O18" i="12"/>
  <c r="O54" i="12" s="1"/>
  <c r="N18" i="12"/>
  <c r="N54" i="12" s="1"/>
  <c r="M18" i="12"/>
  <c r="M54" i="12" s="1"/>
  <c r="L18" i="12"/>
  <c r="L54" i="12" s="1"/>
  <c r="K18" i="12"/>
  <c r="K54" i="12" s="1"/>
  <c r="J18" i="12"/>
  <c r="J54" i="12" s="1"/>
  <c r="I18" i="12"/>
  <c r="I54" i="12" s="1"/>
  <c r="H18" i="12"/>
  <c r="H54" i="12" s="1"/>
  <c r="G18" i="12"/>
  <c r="G54" i="12" s="1"/>
  <c r="F18" i="12"/>
  <c r="F54" i="12" s="1"/>
  <c r="E18" i="12"/>
  <c r="E54" i="12" s="1"/>
  <c r="D18" i="12"/>
  <c r="D54" i="12" s="1"/>
  <c r="C18" i="12"/>
  <c r="C54" i="12" s="1"/>
  <c r="A5" i="12"/>
  <c r="A70" i="11"/>
  <c r="A67" i="11"/>
  <c r="A61" i="11"/>
  <c r="A43" i="11"/>
  <c r="A36" i="11"/>
  <c r="R33" i="11"/>
  <c r="R55" i="11" s="1"/>
  <c r="Q33" i="11"/>
  <c r="Q55" i="11" s="1"/>
  <c r="P33" i="11"/>
  <c r="P55" i="11" s="1"/>
  <c r="O33" i="11"/>
  <c r="O55" i="11" s="1"/>
  <c r="N33" i="11"/>
  <c r="N55" i="11" s="1"/>
  <c r="M33" i="11"/>
  <c r="M55" i="11" s="1"/>
  <c r="L33" i="11"/>
  <c r="L55" i="11" s="1"/>
  <c r="K33" i="11"/>
  <c r="K55" i="11" s="1"/>
  <c r="J33" i="11"/>
  <c r="J55" i="11" s="1"/>
  <c r="I33" i="11"/>
  <c r="I55" i="11" s="1"/>
  <c r="H33" i="11"/>
  <c r="H55" i="11" s="1"/>
  <c r="G33" i="11"/>
  <c r="G55" i="11" s="1"/>
  <c r="F33" i="11"/>
  <c r="F55" i="11" s="1"/>
  <c r="E33" i="11"/>
  <c r="E55" i="11" s="1"/>
  <c r="D33" i="11"/>
  <c r="D55" i="11" s="1"/>
  <c r="C33" i="11"/>
  <c r="C55" i="11" s="1"/>
  <c r="A20" i="11"/>
  <c r="R18" i="11"/>
  <c r="R54" i="11" s="1"/>
  <c r="Q18" i="11"/>
  <c r="Q54" i="11" s="1"/>
  <c r="P18" i="11"/>
  <c r="P54" i="11" s="1"/>
  <c r="O18" i="11"/>
  <c r="O54" i="11" s="1"/>
  <c r="N18" i="11"/>
  <c r="N54" i="11" s="1"/>
  <c r="M18" i="11"/>
  <c r="M54" i="11" s="1"/>
  <c r="L18" i="11"/>
  <c r="L54" i="11" s="1"/>
  <c r="K18" i="11"/>
  <c r="K54" i="11" s="1"/>
  <c r="J18" i="11"/>
  <c r="J54" i="11" s="1"/>
  <c r="I18" i="11"/>
  <c r="I54" i="11" s="1"/>
  <c r="H18" i="11"/>
  <c r="H54" i="11" s="1"/>
  <c r="G18" i="11"/>
  <c r="G54" i="11" s="1"/>
  <c r="F18" i="11"/>
  <c r="F54" i="11" s="1"/>
  <c r="E18" i="11"/>
  <c r="E54" i="11" s="1"/>
  <c r="D18" i="11"/>
  <c r="D54" i="11" s="1"/>
  <c r="C18" i="11"/>
  <c r="C54" i="11" s="1"/>
  <c r="A5" i="11"/>
  <c r="A85" i="10"/>
  <c r="A82" i="10"/>
  <c r="A65" i="10"/>
  <c r="A45" i="10"/>
  <c r="A38" i="10"/>
  <c r="R35" i="10"/>
  <c r="R57" i="10" s="1"/>
  <c r="Q35" i="10"/>
  <c r="Q57" i="10" s="1"/>
  <c r="P35" i="10"/>
  <c r="P57" i="10" s="1"/>
  <c r="O35" i="10"/>
  <c r="O57" i="10" s="1"/>
  <c r="N35" i="10"/>
  <c r="N57" i="10" s="1"/>
  <c r="M35" i="10"/>
  <c r="M57" i="10" s="1"/>
  <c r="L35" i="10"/>
  <c r="L57" i="10" s="1"/>
  <c r="K35" i="10"/>
  <c r="K57" i="10" s="1"/>
  <c r="J35" i="10"/>
  <c r="J57" i="10" s="1"/>
  <c r="I35" i="10"/>
  <c r="I57" i="10" s="1"/>
  <c r="H35" i="10"/>
  <c r="H57" i="10" s="1"/>
  <c r="G35" i="10"/>
  <c r="G57" i="10" s="1"/>
  <c r="F35" i="10"/>
  <c r="F57" i="10" s="1"/>
  <c r="E35" i="10"/>
  <c r="E57" i="10" s="1"/>
  <c r="D35" i="10"/>
  <c r="D57" i="10" s="1"/>
  <c r="C35" i="10"/>
  <c r="A21" i="10"/>
  <c r="R19" i="10"/>
  <c r="R56" i="10" s="1"/>
  <c r="Q19" i="10"/>
  <c r="Q56" i="10" s="1"/>
  <c r="P19" i="10"/>
  <c r="P56" i="10" s="1"/>
  <c r="O19" i="10"/>
  <c r="O56" i="10" s="1"/>
  <c r="N19" i="10"/>
  <c r="N56" i="10" s="1"/>
  <c r="M19" i="10"/>
  <c r="M56" i="10" s="1"/>
  <c r="L19" i="10"/>
  <c r="L56" i="10" s="1"/>
  <c r="K19" i="10"/>
  <c r="K56" i="10" s="1"/>
  <c r="J19" i="10"/>
  <c r="J56" i="10" s="1"/>
  <c r="I19" i="10"/>
  <c r="I56" i="10" s="1"/>
  <c r="H19" i="10"/>
  <c r="H56" i="10" s="1"/>
  <c r="G19" i="10"/>
  <c r="G56" i="10" s="1"/>
  <c r="F19" i="10"/>
  <c r="F56" i="10" s="1"/>
  <c r="E19" i="10"/>
  <c r="E56" i="10" s="1"/>
  <c r="D19" i="10"/>
  <c r="D56" i="10" s="1"/>
  <c r="C19" i="10"/>
  <c r="A5" i="10"/>
  <c r="A36" i="9"/>
  <c r="A33" i="9"/>
  <c r="A30" i="9"/>
  <c r="R14" i="9"/>
  <c r="R19" i="9" s="1"/>
  <c r="Q14" i="9"/>
  <c r="Q19" i="9" s="1"/>
  <c r="P14" i="9"/>
  <c r="P19" i="9" s="1"/>
  <c r="O14" i="9"/>
  <c r="O19" i="9" s="1"/>
  <c r="N14" i="9"/>
  <c r="N19" i="9" s="1"/>
  <c r="M14" i="9"/>
  <c r="M19" i="9" s="1"/>
  <c r="L14" i="9"/>
  <c r="L19" i="9" s="1"/>
  <c r="K14" i="9"/>
  <c r="K19" i="9" s="1"/>
  <c r="J14" i="9"/>
  <c r="J19" i="9" s="1"/>
  <c r="I14" i="9"/>
  <c r="I19" i="9" s="1"/>
  <c r="H14" i="9"/>
  <c r="H19" i="9" s="1"/>
  <c r="G14" i="9"/>
  <c r="G19" i="9" s="1"/>
  <c r="F14" i="9"/>
  <c r="F19" i="9" s="1"/>
  <c r="E14" i="9"/>
  <c r="E19" i="9" s="1"/>
  <c r="D14" i="9"/>
  <c r="D19" i="9" s="1"/>
  <c r="C14" i="9"/>
  <c r="C19" i="9" s="1"/>
  <c r="A4" i="9"/>
  <c r="A58" i="8"/>
  <c r="A55" i="8"/>
  <c r="A52" i="8"/>
  <c r="CD18" i="8"/>
  <c r="BY18" i="8"/>
  <c r="BT18" i="8"/>
  <c r="BO18" i="8"/>
  <c r="BJ18" i="8"/>
  <c r="BE18" i="8"/>
  <c r="AZ18" i="8"/>
  <c r="AU18" i="8"/>
  <c r="AP18" i="8"/>
  <c r="AK18" i="8"/>
  <c r="AF18" i="8"/>
  <c r="AA18" i="8"/>
  <c r="V18" i="8"/>
  <c r="Q18" i="8"/>
  <c r="L18" i="8"/>
  <c r="G18" i="8"/>
  <c r="CD17" i="8"/>
  <c r="BY17" i="8"/>
  <c r="BT17" i="8"/>
  <c r="BO17" i="8"/>
  <c r="BJ17" i="8"/>
  <c r="BE17" i="8"/>
  <c r="AZ17" i="8"/>
  <c r="AU17" i="8"/>
  <c r="AP17" i="8"/>
  <c r="AK17" i="8"/>
  <c r="AF17" i="8"/>
  <c r="AA17" i="8"/>
  <c r="V17" i="8"/>
  <c r="Q17" i="8"/>
  <c r="L17" i="8"/>
  <c r="G17" i="8"/>
  <c r="CD16" i="8"/>
  <c r="BY16" i="8"/>
  <c r="BT16" i="8"/>
  <c r="BO16" i="8"/>
  <c r="BJ16" i="8"/>
  <c r="BE16" i="8"/>
  <c r="AZ16" i="8"/>
  <c r="AU16" i="8"/>
  <c r="AP16" i="8"/>
  <c r="AK16" i="8"/>
  <c r="AF16" i="8"/>
  <c r="AA16" i="8"/>
  <c r="V16" i="8"/>
  <c r="Q16" i="8"/>
  <c r="L16" i="8"/>
  <c r="G16" i="8"/>
  <c r="CD15" i="8"/>
  <c r="BY15" i="8"/>
  <c r="BT15" i="8"/>
  <c r="BO15" i="8"/>
  <c r="BJ15" i="8"/>
  <c r="BE15" i="8"/>
  <c r="AZ15" i="8"/>
  <c r="AU15" i="8"/>
  <c r="AP15" i="8"/>
  <c r="AK15" i="8"/>
  <c r="AF15" i="8"/>
  <c r="AA15" i="8"/>
  <c r="V15" i="8"/>
  <c r="Q15" i="8"/>
  <c r="L15" i="8"/>
  <c r="G15" i="8"/>
  <c r="CD14" i="8"/>
  <c r="BY14" i="8"/>
  <c r="BT14" i="8"/>
  <c r="BO14" i="8"/>
  <c r="BJ14" i="8"/>
  <c r="BE14" i="8"/>
  <c r="AZ14" i="8"/>
  <c r="AU14" i="8"/>
  <c r="AP14" i="8"/>
  <c r="AK14" i="8"/>
  <c r="AF14" i="8"/>
  <c r="AA14" i="8"/>
  <c r="V14" i="8"/>
  <c r="Q14" i="8"/>
  <c r="L14" i="8"/>
  <c r="G14" i="8"/>
  <c r="CD13" i="8"/>
  <c r="BY13" i="8"/>
  <c r="BT13" i="8"/>
  <c r="BO13" i="8"/>
  <c r="BJ13" i="8"/>
  <c r="BE13" i="8"/>
  <c r="AZ13" i="8"/>
  <c r="AU13" i="8"/>
  <c r="AP13" i="8"/>
  <c r="AK13" i="8"/>
  <c r="AF13" i="8"/>
  <c r="AA13" i="8"/>
  <c r="V13" i="8"/>
  <c r="Q13" i="8"/>
  <c r="L13" i="8"/>
  <c r="G13" i="8"/>
  <c r="CD12" i="8"/>
  <c r="BY12" i="8"/>
  <c r="BT12" i="8"/>
  <c r="BO12" i="8"/>
  <c r="BJ12" i="8"/>
  <c r="BE12" i="8"/>
  <c r="AZ12" i="8"/>
  <c r="AU12" i="8"/>
  <c r="AP12" i="8"/>
  <c r="AK12" i="8"/>
  <c r="AF12" i="8"/>
  <c r="AA12" i="8"/>
  <c r="V12" i="8"/>
  <c r="Q12" i="8"/>
  <c r="L12" i="8"/>
  <c r="G12" i="8"/>
  <c r="CD11" i="8"/>
  <c r="BY11" i="8"/>
  <c r="BT11" i="8"/>
  <c r="BO11" i="8"/>
  <c r="BJ11" i="8"/>
  <c r="BE11" i="8"/>
  <c r="AZ11" i="8"/>
  <c r="AU11" i="8"/>
  <c r="AP11" i="8"/>
  <c r="AK11" i="8"/>
  <c r="AF11" i="8"/>
  <c r="AA11" i="8"/>
  <c r="V11" i="8"/>
  <c r="Q11" i="8"/>
  <c r="L11" i="8"/>
  <c r="G11" i="8"/>
  <c r="CD10" i="8"/>
  <c r="BY10" i="8"/>
  <c r="BT10" i="8"/>
  <c r="BO10" i="8"/>
  <c r="BJ10" i="8"/>
  <c r="BE10" i="8"/>
  <c r="AZ10" i="8"/>
  <c r="AU10" i="8"/>
  <c r="AP10" i="8"/>
  <c r="AK10" i="8"/>
  <c r="AF10" i="8"/>
  <c r="AA10" i="8"/>
  <c r="V10" i="8"/>
  <c r="Q10" i="8"/>
  <c r="L10" i="8"/>
  <c r="G10" i="8"/>
  <c r="CD9" i="8"/>
  <c r="BY9" i="8"/>
  <c r="BT9" i="8"/>
  <c r="BO9" i="8"/>
  <c r="BJ9" i="8"/>
  <c r="BE9" i="8"/>
  <c r="AZ9" i="8"/>
  <c r="AU9" i="8"/>
  <c r="AP9" i="8"/>
  <c r="AK9" i="8"/>
  <c r="AF9" i="8"/>
  <c r="AA9" i="8"/>
  <c r="V9" i="8"/>
  <c r="Q9" i="8"/>
  <c r="L9" i="8"/>
  <c r="G9" i="8"/>
  <c r="CD8" i="8"/>
  <c r="BY8" i="8"/>
  <c r="BT8" i="8"/>
  <c r="BO8" i="8"/>
  <c r="BJ8" i="8"/>
  <c r="BE8" i="8"/>
  <c r="AZ8" i="8"/>
  <c r="AU8" i="8"/>
  <c r="AP8" i="8"/>
  <c r="AK8" i="8"/>
  <c r="AF8" i="8"/>
  <c r="AA8" i="8"/>
  <c r="V8" i="8"/>
  <c r="Q8" i="8"/>
  <c r="L8" i="8"/>
  <c r="G8" i="8"/>
  <c r="CD7" i="8"/>
  <c r="BY7" i="8"/>
  <c r="BT7" i="8"/>
  <c r="BO7" i="8"/>
  <c r="BJ7" i="8"/>
  <c r="BE7" i="8"/>
  <c r="AZ7" i="8"/>
  <c r="AU7" i="8"/>
  <c r="AP7" i="8"/>
  <c r="AK7" i="8"/>
  <c r="AF7" i="8"/>
  <c r="AA7" i="8"/>
  <c r="V7" i="8"/>
  <c r="Q7" i="8"/>
  <c r="L7" i="8"/>
  <c r="G7" i="8"/>
  <c r="A4" i="8"/>
  <c r="A47" i="7"/>
  <c r="A44" i="7"/>
  <c r="A34" i="7"/>
  <c r="R23" i="7"/>
  <c r="R26" i="7" s="1"/>
  <c r="Q23" i="7"/>
  <c r="Q26" i="7" s="1"/>
  <c r="P23" i="7"/>
  <c r="P26" i="7" s="1"/>
  <c r="O23" i="7"/>
  <c r="O26" i="7" s="1"/>
  <c r="N23" i="7"/>
  <c r="N26" i="7" s="1"/>
  <c r="M23" i="7"/>
  <c r="M26" i="7" s="1"/>
  <c r="L23" i="7"/>
  <c r="L26" i="7" s="1"/>
  <c r="K23" i="7"/>
  <c r="K26" i="7" s="1"/>
  <c r="J23" i="7"/>
  <c r="J26" i="7" s="1"/>
  <c r="I23" i="7"/>
  <c r="I26" i="7" s="1"/>
  <c r="H23" i="7"/>
  <c r="H26" i="7" s="1"/>
  <c r="G23" i="7"/>
  <c r="G26" i="7" s="1"/>
  <c r="F23" i="7"/>
  <c r="F26" i="7" s="1"/>
  <c r="E23" i="7"/>
  <c r="E26" i="7" s="1"/>
  <c r="D23" i="7"/>
  <c r="D26" i="7" s="1"/>
  <c r="C23" i="7"/>
  <c r="C26" i="7" s="1"/>
  <c r="A15" i="7"/>
  <c r="R13" i="7"/>
  <c r="Q13" i="7"/>
  <c r="P13" i="7"/>
  <c r="O13" i="7"/>
  <c r="N13" i="7"/>
  <c r="M13" i="7"/>
  <c r="L13" i="7"/>
  <c r="K13" i="7"/>
  <c r="J13" i="7"/>
  <c r="I13" i="7"/>
  <c r="H13" i="7"/>
  <c r="G13" i="7"/>
  <c r="F13" i="7"/>
  <c r="E13" i="7"/>
  <c r="D13" i="7"/>
  <c r="C13" i="7"/>
  <c r="A5" i="7"/>
  <c r="A44" i="6"/>
  <c r="A43" i="6"/>
  <c r="A40" i="6"/>
  <c r="A33" i="6"/>
  <c r="A32" i="6"/>
  <c r="A18" i="6"/>
  <c r="A12" i="6"/>
  <c r="A7" i="6"/>
  <c r="A43" i="5"/>
  <c r="A42" i="5"/>
  <c r="A39" i="5"/>
  <c r="A12" i="5"/>
  <c r="A7" i="5"/>
  <c r="A29" i="4"/>
  <c r="A28" i="4"/>
  <c r="A25" i="4"/>
  <c r="A19" i="4"/>
  <c r="R9" i="4"/>
  <c r="Q9" i="4"/>
  <c r="P9" i="4"/>
  <c r="O9" i="4"/>
  <c r="N9" i="4"/>
  <c r="M9" i="4"/>
  <c r="L9" i="4"/>
  <c r="K9" i="4"/>
  <c r="J9" i="4"/>
  <c r="I9" i="4"/>
  <c r="H9" i="4"/>
  <c r="G9" i="4"/>
  <c r="F9" i="4"/>
  <c r="E9" i="4"/>
  <c r="D9" i="4"/>
  <c r="C9" i="4"/>
  <c r="A5" i="4"/>
  <c r="A32" i="3"/>
  <c r="A26" i="3"/>
  <c r="A9" i="3"/>
  <c r="A5" i="3"/>
  <c r="A81" i="2"/>
  <c r="A78" i="2"/>
  <c r="A57" i="2"/>
  <c r="A42" i="2"/>
  <c r="R39" i="2"/>
  <c r="R6" i="15" s="1"/>
  <c r="Q39" i="2"/>
  <c r="Q6" i="15" s="1"/>
  <c r="P39" i="2"/>
  <c r="P6" i="15" s="1"/>
  <c r="O39" i="2"/>
  <c r="O6" i="15" s="1"/>
  <c r="N39" i="2"/>
  <c r="N6" i="15" s="1"/>
  <c r="M39" i="2"/>
  <c r="M6" i="15" s="1"/>
  <c r="L39" i="2"/>
  <c r="L6" i="15" s="1"/>
  <c r="K39" i="2"/>
  <c r="K6" i="15" s="1"/>
  <c r="J39" i="2"/>
  <c r="J6" i="15" s="1"/>
  <c r="I39" i="2"/>
  <c r="I6" i="15" s="1"/>
  <c r="H39" i="2"/>
  <c r="H6" i="15" s="1"/>
  <c r="G39" i="2"/>
  <c r="G6" i="15" s="1"/>
  <c r="A4" i="2"/>
  <c r="C51" i="1" a="1"/>
  <c r="C51" i="1" s="1"/>
  <c r="A51" i="1" a="1"/>
  <c r="A53" i="1" s="1"/>
  <c r="C49" i="1"/>
  <c r="A49" i="1"/>
  <c r="C48" i="1"/>
  <c r="A48" i="1"/>
  <c r="C47" i="1"/>
  <c r="A47" i="1"/>
  <c r="C46" i="1"/>
  <c r="A46" i="1"/>
  <c r="C45" i="1"/>
  <c r="A45" i="1"/>
  <c r="C44" i="1"/>
  <c r="A44" i="1"/>
  <c r="C43" i="1"/>
  <c r="A43" i="1"/>
  <c r="C42" i="1"/>
  <c r="A42" i="1"/>
  <c r="C41" i="1"/>
  <c r="A41" i="1"/>
  <c r="C40" i="1"/>
  <c r="A40" i="1"/>
  <c r="C38" i="1"/>
  <c r="A38" i="1"/>
  <c r="C37" i="1"/>
  <c r="A37" i="1"/>
  <c r="C36" i="1"/>
  <c r="A36" i="1"/>
  <c r="C35" i="1"/>
  <c r="A35" i="1"/>
  <c r="C34" i="1"/>
  <c r="A34" i="1"/>
  <c r="C33" i="1"/>
  <c r="A33" i="1"/>
  <c r="C28" i="1" a="1"/>
  <c r="C29" i="1" s="1"/>
  <c r="A28" i="1" a="1"/>
  <c r="A29" i="1" s="1"/>
  <c r="C26" i="1" a="1"/>
  <c r="C27" i="1" s="1"/>
  <c r="A26" i="1" a="1"/>
  <c r="A26" i="1" s="1"/>
  <c r="C23" i="1"/>
  <c r="A23" i="1"/>
  <c r="C22" i="1"/>
  <c r="A22" i="1"/>
  <c r="C21" i="1"/>
  <c r="A21" i="1"/>
  <c r="Q32" i="8" l="1" a="1"/>
  <c r="P32" i="8" a="1"/>
  <c r="O32" i="8" a="1"/>
  <c r="N32" i="8" a="1"/>
  <c r="M32" i="8" a="1"/>
  <c r="L32" i="8" a="1"/>
  <c r="K32" i="8" a="1"/>
  <c r="J32" i="8" a="1"/>
  <c r="I32" i="8" a="1"/>
  <c r="G32" i="8" a="1"/>
  <c r="F32" i="8" a="1"/>
  <c r="E32" i="8" a="1"/>
  <c r="D32" i="8" a="1"/>
  <c r="C32" i="8" a="1"/>
  <c r="R32" i="8" a="1"/>
  <c r="H32" i="8" a="1"/>
  <c r="DC24" i="8"/>
  <c r="EL24" i="8"/>
  <c r="FF24" i="8"/>
  <c r="DH24" i="8"/>
  <c r="EV24" i="8"/>
  <c r="CN24" i="8"/>
  <c r="DM24" i="8"/>
  <c r="FK24" i="8"/>
  <c r="FA24" i="8"/>
  <c r="DR24" i="8"/>
  <c r="FU24" i="8"/>
  <c r="EB24" i="8"/>
  <c r="DW24" i="8"/>
  <c r="FP24" i="8"/>
  <c r="CI24" i="8"/>
  <c r="CS24" i="8"/>
  <c r="EQ24" i="8"/>
  <c r="CX24" i="8"/>
  <c r="EG24" i="8"/>
  <c r="FZ24" i="8"/>
  <c r="CD19" i="8"/>
  <c r="R11" i="15"/>
  <c r="R12" i="15"/>
  <c r="R8" i="15"/>
  <c r="K8" i="15"/>
  <c r="K12" i="15"/>
  <c r="K11" i="15"/>
  <c r="M8" i="15"/>
  <c r="M11" i="15"/>
  <c r="M12" i="15"/>
  <c r="H11" i="15"/>
  <c r="H8" i="15"/>
  <c r="H12" i="15"/>
  <c r="P11" i="15"/>
  <c r="P12" i="15"/>
  <c r="P8" i="15"/>
  <c r="I11" i="15"/>
  <c r="I12" i="15"/>
  <c r="I8" i="15"/>
  <c r="Q12" i="15"/>
  <c r="Q8" i="15"/>
  <c r="Q11" i="15"/>
  <c r="J12" i="15"/>
  <c r="J11" i="15"/>
  <c r="J8" i="15"/>
  <c r="L11" i="15"/>
  <c r="L8" i="15"/>
  <c r="L12" i="15"/>
  <c r="N8" i="15"/>
  <c r="N11" i="15"/>
  <c r="N12" i="15"/>
  <c r="G12" i="15"/>
  <c r="G8" i="15"/>
  <c r="G11" i="15"/>
  <c r="O8" i="15"/>
  <c r="O11" i="15"/>
  <c r="O12" i="15"/>
  <c r="AK19" i="8"/>
  <c r="AZ19" i="8"/>
  <c r="L19" i="8"/>
  <c r="A52" i="1"/>
  <c r="C52" i="1"/>
  <c r="C53" i="1"/>
  <c r="C57" i="10"/>
  <c r="C56" i="10"/>
  <c r="AA19" i="8"/>
  <c r="AP19" i="8"/>
  <c r="BT19" i="8"/>
  <c r="G19" i="8"/>
  <c r="AU19" i="8"/>
  <c r="Q19" i="8"/>
  <c r="V19" i="8"/>
  <c r="BO19" i="8"/>
  <c r="AF19" i="8"/>
  <c r="BY19" i="8"/>
  <c r="BE19" i="8"/>
  <c r="BJ19" i="8"/>
  <c r="D25" i="7"/>
  <c r="L25" i="7"/>
  <c r="G25" i="7"/>
  <c r="O25" i="7"/>
  <c r="K25" i="7"/>
  <c r="E25" i="7"/>
  <c r="M25" i="7"/>
  <c r="F25" i="7"/>
  <c r="N25" i="7"/>
  <c r="I25" i="7"/>
  <c r="Q25" i="7"/>
  <c r="H25" i="7"/>
  <c r="P25" i="7"/>
  <c r="J25" i="7"/>
  <c r="R25" i="7"/>
  <c r="C25" i="7"/>
  <c r="C31" i="1"/>
  <c r="A28" i="1"/>
  <c r="A30" i="1"/>
  <c r="A31" i="1"/>
  <c r="C30" i="1"/>
  <c r="A27" i="1"/>
  <c r="A51" i="1"/>
  <c r="C26" i="1"/>
  <c r="C28" i="1"/>
  <c r="Q24" i="8" l="1"/>
  <c r="AU24" i="8"/>
  <c r="G24" i="8"/>
  <c r="CD24" i="8"/>
  <c r="BY24" i="8"/>
  <c r="AP24" i="8"/>
  <c r="AZ24" i="8"/>
  <c r="AA24" i="8"/>
  <c r="AK24" i="8"/>
  <c r="V24" i="8"/>
  <c r="BJ24" i="8"/>
  <c r="BE24" i="8"/>
  <c r="BT24" i="8"/>
  <c r="L24" i="8"/>
  <c r="AF24" i="8"/>
  <c r="BO24"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<sst xmlns="http://schemas.openxmlformats.org/spreadsheetml/2006/main" count="3680" uniqueCount="452">
  <si>
    <t>— PLEASE SELECT —</t>
  </si>
  <si>
    <t>Aberdeen City</t>
  </si>
  <si>
    <t>LOCAL AUTHORITY AREA</t>
  </si>
  <si>
    <t>Aberdeenshire</t>
  </si>
  <si>
    <t>Angus</t>
  </si>
  <si>
    <t>Argyll and Bute</t>
  </si>
  <si>
    <t>Please select your Local Authority area from the list above.</t>
  </si>
  <si>
    <t>City of Edinburgh</t>
  </si>
  <si>
    <t>Clackmannanshire</t>
  </si>
  <si>
    <t>NAMED CONTACT</t>
  </si>
  <si>
    <t>Dumfries and Galloway</t>
  </si>
  <si>
    <t>Please provide a named contact for the ASP Minimum Dataset here. This person will be notified of any key updates in addition to the Lead Officer in your area.</t>
  </si>
  <si>
    <t>Dundee City</t>
  </si>
  <si>
    <t>NAME:</t>
  </si>
  <si>
    <t>East Ayrshire</t>
  </si>
  <si>
    <t>E-MAIL:</t>
  </si>
  <si>
    <t>East Dunbartonshire</t>
  </si>
  <si>
    <t>East Lothian</t>
  </si>
  <si>
    <t>East Renfrewshire</t>
  </si>
  <si>
    <t>NOTES</t>
  </si>
  <si>
    <t>Falkirk</t>
  </si>
  <si>
    <t>Please note that, for all indicators, two quarters worth of demonstration data (marked in gray) has been included. This is not real data, will not be counted as part of your submission and is included for illustrative purposes only.</t>
  </si>
  <si>
    <t>Fife</t>
  </si>
  <si>
    <r>
      <rPr>
        <i/>
        <sz val="12"/>
        <color rgb="FF7F6000"/>
        <rFont val="Calibri"/>
        <family val="2"/>
      </rPr>
      <t xml:space="preserve">Please return a copy of the completed workbook to the address below on the agreed dates.
</t>
    </r>
    <r>
      <rPr>
        <b/>
        <sz val="16"/>
        <color rgb="FF7F6000"/>
        <rFont val="Calibri (Body)"/>
      </rPr>
      <t>ASPData@gov.scot</t>
    </r>
  </si>
  <si>
    <t>Glasgow City</t>
  </si>
  <si>
    <t>Highland</t>
  </si>
  <si>
    <t>CONTENTS</t>
  </si>
  <si>
    <t>Inverclyde</t>
  </si>
  <si>
    <t>INVOLVEMENT IN ASP PROCESSES</t>
  </si>
  <si>
    <t>Midlothian</t>
  </si>
  <si>
    <t>Moray</t>
  </si>
  <si>
    <t>Na h-Eileanan Siar</t>
  </si>
  <si>
    <t>North Ayrshire</t>
  </si>
  <si>
    <t>MULTI-AGENCY ADULT SUPPORT AND PROTECTION CONFERENCES (CASE CONFERENCES)</t>
  </si>
  <si>
    <t>North Lanarkshire</t>
  </si>
  <si>
    <t>Orkney Islands</t>
  </si>
  <si>
    <t>Indicator 4b</t>
  </si>
  <si>
    <t>REVIEW CASE CONFERENCES</t>
  </si>
  <si>
    <t>Perth and Kinross</t>
  </si>
  <si>
    <t>Renfrewshire</t>
  </si>
  <si>
    <t>Indicator 5b</t>
  </si>
  <si>
    <t>Scottish Borders</t>
  </si>
  <si>
    <t>Indicator 6a</t>
  </si>
  <si>
    <t xml:space="preserve">INDEPENDENT ADVOCATES INVITED TO ATTEND A CASE CONFERENCE (TOTAL) </t>
  </si>
  <si>
    <t>Shetland Islands</t>
  </si>
  <si>
    <t>Indicator 6b</t>
  </si>
  <si>
    <t>INDEPENDENT ADVOCATES INVITED TO ATTEND A CASE CONFERENCE (PERCENTAGE UPTAKE)</t>
  </si>
  <si>
    <t>South Ayrshire</t>
  </si>
  <si>
    <t>ADULT SUPPORT AND PROTECTION PLANS AND USE OF POWERS</t>
  </si>
  <si>
    <t>South Lanarkshire</t>
  </si>
  <si>
    <t>Stirling</t>
  </si>
  <si>
    <t>West Dunbartonshire</t>
  </si>
  <si>
    <t>West Lothian</t>
  </si>
  <si>
    <t>DEMOGRAPHICS AND DESCRIPTIVE DATA</t>
  </si>
  <si>
    <t>LARGE SCALE INVESTIGATIONS</t>
  </si>
  <si>
    <t>Indicator 19b</t>
  </si>
  <si>
    <t>CARE INSPECTORATE ASSIGNED UNIQUE CS NUMBERS</t>
  </si>
  <si>
    <t>Indicator 19c</t>
  </si>
  <si>
    <t>NHS HOSPITAL LOCATION CODE (PER INDIVIDUAL LSI)</t>
  </si>
  <si>
    <t>Indicator 1</t>
  </si>
  <si>
    <t>ASP REFERRALS SUBMITTED TO ADULT PROTECTION SERVICE (BY SOURCE)</t>
  </si>
  <si>
    <t>LOCAL DATA</t>
  </si>
  <si>
    <t>Apr-Jun</t>
  </si>
  <si>
    <t>Jul-Sep</t>
  </si>
  <si>
    <t>Oct-Dec</t>
  </si>
  <si>
    <t>Jan-Mar</t>
  </si>
  <si>
    <t>Q1 2024/25</t>
  </si>
  <si>
    <t>Q2 2024/25</t>
  </si>
  <si>
    <t>Q3 2024/25</t>
  </si>
  <si>
    <t>Q4 2024/25</t>
  </si>
  <si>
    <t>Q1 2025/26</t>
  </si>
  <si>
    <t>Q2 2025/26</t>
  </si>
  <si>
    <t>Q3 2025/26</t>
  </si>
  <si>
    <t>Q4 2025/26</t>
  </si>
  <si>
    <t>Q1 2026/27</t>
  </si>
  <si>
    <t>Q2 2026/27</t>
  </si>
  <si>
    <t>Q3 2026/27</t>
  </si>
  <si>
    <t>Q4 2026/27</t>
  </si>
  <si>
    <t>Mental Welfare Commission for Scotland</t>
  </si>
  <si>
    <t>Care Inspectorate</t>
  </si>
  <si>
    <t>Healthcare Improvement Scotland</t>
  </si>
  <si>
    <t>Office of the Public Guardian</t>
  </si>
  <si>
    <t>Police Scotland</t>
  </si>
  <si>
    <t>NHS 24</t>
  </si>
  <si>
    <t>NHS Primary Care</t>
  </si>
  <si>
    <t>NHS Acute Services</t>
  </si>
  <si>
    <t>NHS Specialist Drug and Alcohol Services</t>
  </si>
  <si>
    <t>NHS Community Health Services</t>
  </si>
  <si>
    <t>Mental Health Services – Hospital and Community</t>
  </si>
  <si>
    <t>Other health (eg public health, private healthcare, prison healthcare)</t>
  </si>
  <si>
    <t>Social Work - Adults (including MHOs)</t>
  </si>
  <si>
    <t>Social work - Children and Families</t>
  </si>
  <si>
    <t>Out of region social work / other (external) local authority</t>
  </si>
  <si>
    <t>Other local authority service (internal) excluding social work</t>
  </si>
  <si>
    <t>Scottish Ambulance Service</t>
  </si>
  <si>
    <t>Scottish Fire and Rescue</t>
  </si>
  <si>
    <t>Scottish Prison Service</t>
  </si>
  <si>
    <t>Care Home</t>
  </si>
  <si>
    <t>Care at home provider</t>
  </si>
  <si>
    <t>Housing</t>
  </si>
  <si>
    <t>Education</t>
  </si>
  <si>
    <t>Children's Services</t>
  </si>
  <si>
    <t>Self (adult at risk)</t>
  </si>
  <si>
    <t>Unpaid carer</t>
  </si>
  <si>
    <t>Family, friend or neighbour (who is not an unpaid carer)</t>
  </si>
  <si>
    <t>Other member of the public (not covered by 20 or 21)</t>
  </si>
  <si>
    <t>Third sector organisation (not covered by the above)</t>
  </si>
  <si>
    <t>Financial institution</t>
  </si>
  <si>
    <t>DWP / Social Security Scotland</t>
  </si>
  <si>
    <t>Anonymous</t>
  </si>
  <si>
    <t>Other (please specify below)</t>
  </si>
  <si>
    <t>Total</t>
  </si>
  <si>
    <t>OPTIONAL FURTHER DATA</t>
  </si>
  <si>
    <t>If possible, please use the space below to provide a breakdown of the referral sources combined within the 'Other' category above.</t>
  </si>
  <si>
    <t>Other (categories and values)</t>
  </si>
  <si>
    <t>REFLECTIONS AND CAVEATS</t>
  </si>
  <si>
    <t>Please use the free text field opposite to detail any challenges experienced in completing the above, and where additional clarification or amendments may be needed/helpful.</t>
  </si>
  <si>
    <t>NOTES ON COMPLETION</t>
  </si>
  <si>
    <r>
      <rPr>
        <b/>
        <sz val="10"/>
        <color theme="1"/>
        <rFont val="Verdana"/>
        <family val="2"/>
      </rPr>
      <t>Counting ASP referrals</t>
    </r>
    <r>
      <rPr>
        <sz val="10"/>
        <color theme="1"/>
        <rFont val="Verdana"/>
        <family val="2"/>
      </rPr>
      <t xml:space="preserve">
Whether to count something as an ‘ASP referral’ or not should always be determined by the act of the sender (not the receiver) except in the following two scenarios:
●     where a referral is received from a non-professional, such as a concerned member of the public with no knowledge or awareness of ASP and unable to ascertain where to direct their concern OR
●    when a welfare concern is escalated to an ASP referral.
In the above two exceptions, the status of the referral and whether it should be recorded as an ‘ASP referral’ or not would be determined by a worker and not the original source of the referral.
ASP referrals tell us about the number of referrals received, and importantly from which sources they come from to inform training needs and awareness raising activities. They should </t>
    </r>
    <r>
      <rPr>
        <b/>
        <i/>
        <sz val="10"/>
        <color theme="1"/>
        <rFont val="Verdana"/>
        <family val="2"/>
      </rPr>
      <t>not</t>
    </r>
    <r>
      <rPr>
        <sz val="10"/>
        <color theme="1"/>
        <rFont val="Verdana"/>
        <family val="2"/>
      </rPr>
      <t xml:space="preserve"> be expected to match the number of adults referred to ASP Services or subsequent S4 inquiries.
More than one ASP referral can be received for the same individual from different agencies that have come into contact with the adult. This may be for:
●      The same individual, same incident, and same type of harm at a singular point in time
●      The same individual but separate incidents or different types of harm within a short timescale
Such referrals may or may not generate a separate inquiry. This will depend on local practices and whether different ASP referrals for the same individual are linked in systems. 
</t>
    </r>
    <r>
      <rPr>
        <b/>
        <sz val="10"/>
        <color theme="1"/>
        <rFont val="Verdana"/>
        <family val="2"/>
      </rPr>
      <t>Recording the source of the ASP referral</t>
    </r>
    <r>
      <rPr>
        <sz val="10"/>
        <color theme="1"/>
        <rFont val="Verdana"/>
        <family val="2"/>
      </rPr>
      <t xml:space="preserve">
This should always be the original source of the referral with the following exception. 
For welfare concern referrals escalated by a social worker to an ASP referral, the original source of the referral should be recorded. For example, a welfare concern from the police escalated to an ASP referral by a social worker should be counted as an ‘ASP referral’ with ‘police’ recorded as the source of the referral.</t>
    </r>
  </si>
  <si>
    <t>DEFINITIONS</t>
  </si>
  <si>
    <t>ASP Referral</t>
  </si>
  <si>
    <t>ASP referras are made by different stakeholders to the Health and Social Care Partnership’s (HSCP) Adult Protection Service where it is known or believed that an adult is at risk, and that further action may be required to protect the person’s well-being, property or financial affairs.
There is a duty on certain public bodies or office holders who know or believe that a person is an adult at risk of harm and that action may need to be taken to protect them, to make an ASP referral. However, ASP referrals may be received from sources in addition to public bodies, including third sector organisations, members of the public, or the person at risk themselves.
Referrers do not need to have evidence that all elements of the three-point criteria, as referred to in the Act, have been met. Good practice would dictate that even if in doubt the referral should be made. This should be counted as an ASP referral by the HSCP’s Adult Protection Service receiving it.
Following receipt of an ASP referral, if the council knows or believes that the adult is at risk of harm and that it might need to intervene to protect their wellbeing, property or financial affairs, a S4 inquiry must be undertaken.</t>
  </si>
  <si>
    <t>ASP Referral source categories</t>
  </si>
  <si>
    <r>
      <rPr>
        <sz val="10"/>
        <color theme="1"/>
        <rFont val="Verdana"/>
        <family val="2"/>
      </rPr>
      <t xml:space="preserve">These are standard umbrella categories, reflecting </t>
    </r>
    <r>
      <rPr>
        <b/>
        <sz val="10"/>
        <color theme="1"/>
        <rFont val="Verdana"/>
        <family val="2"/>
      </rPr>
      <t>service types</t>
    </r>
    <r>
      <rPr>
        <sz val="10"/>
        <color theme="1"/>
        <rFont val="Verdana"/>
        <family val="2"/>
      </rPr>
      <t xml:space="preserve">. We need something that will work for all 32 Local Authority areas. We appreciate, however, that how services are managed (and what professionals are involved within these services) will be different in different areas. Hence the illustrations provided, are just illustrations, and may not be an exact fit with how things are organised in your particular environment.
</t>
    </r>
    <r>
      <rPr>
        <b/>
        <sz val="10"/>
        <color theme="1"/>
        <rFont val="Verdana"/>
        <family val="2"/>
      </rPr>
      <t>Please be guided by the service type</t>
    </r>
    <r>
      <rPr>
        <sz val="10"/>
        <color theme="1"/>
        <rFont val="Verdana"/>
        <family val="2"/>
      </rPr>
      <t xml:space="preserve">
For example, there are Social Work Occupational Therapists (OTs) as well as NHS OTs. The former would be recorded as a social work referral as it is the service, not the job role, which has key importance here. Similarly, workers with the same job title can work in different service types eg a nurse may work in Primary Care, in Acute Services or in Community Health Services.
We appreciate that referrals from integrated teams will be harder to categorise. This will need to be a local decision as to whether there is a broad fit with the categories provided’ or if you feel the need to include under ‘other’ - recording further details and any caveats to highlight data issues going forward.
Please remember that where you are using the ‘other category’ that you should provide information specifying the referral source. We will review the use of ‘other’ going forward.
</t>
    </r>
    <r>
      <rPr>
        <b/>
        <sz val="10"/>
        <color theme="1"/>
        <rFont val="Verdana"/>
        <family val="2"/>
      </rPr>
      <t>Be guided by the reason for collecting the ASP referral source</t>
    </r>
    <r>
      <rPr>
        <sz val="10"/>
        <color theme="1"/>
        <rFont val="Verdana"/>
        <family val="2"/>
      </rPr>
      <t xml:space="preserve">
Remember that a </t>
    </r>
    <r>
      <rPr>
        <b/>
        <sz val="10"/>
        <color theme="1"/>
        <rFont val="Verdana"/>
        <family val="2"/>
      </rPr>
      <t>key reason</t>
    </r>
    <r>
      <rPr>
        <sz val="10"/>
        <color theme="1"/>
        <rFont val="Verdana"/>
        <family val="2"/>
      </rPr>
      <t xml:space="preserve"> for collecting the source of an ASP referral is to help you understand what local services are contributing to ASP work, and to inform and help you target what training or awareness raising is required.
To support this, you might want to consider training to ensure the data is captured in a consistent way and takes account of how services are organised in your local area. And, while not a requirement of the Minimum Dataset, you may choose to provide further sub-categories under the umbrella categories we have provided locally.</t>
    </r>
  </si>
  <si>
    <t>Health source categories</t>
  </si>
  <si>
    <t>Category</t>
  </si>
  <si>
    <t>Description / illustrative example</t>
  </si>
  <si>
    <t>GPs, dentists, pharmacists, optometrists or District Nurses.</t>
  </si>
  <si>
    <t>General hospitals including maternity hospitals, some other community hospitals specialising in care such as rehab or long-term care may be included here or could be added to the community health category.</t>
  </si>
  <si>
    <t>NHS Specialist Drug and Alcohol services </t>
  </si>
  <si>
    <t xml:space="preserve">This would cover all NHS drug and alcohol services in-patient and community based.  Please note that drug and alcohol services are typically led and managed under mental health services in the NHS. </t>
  </si>
  <si>
    <t>Health visitors, school nurses, family nurses, midwives, community hospital staff, Allied Health Professionals (rehab, day services etc); possibly district nursing depending on local service arrangements.</t>
  </si>
  <si>
    <t>Mental Health Services – hospital and community</t>
  </si>
  <si>
    <t xml:space="preserve">This would cover all in-patient and community based mental health services including Learning Disability services, CAMHS, Psychiatric Liaison and crisis.  
Also psychology services — mostly mental health but may include other service areas depending on local arrangements.
It may also include GP based mental health practitioners - again, depending on local arrangements.  </t>
  </si>
  <si>
    <t>Other Health </t>
  </si>
  <si>
    <t> E.g. Public Health, Private Healthcare, Prison Healthcare</t>
  </si>
  <si>
    <t>Scottish Ambulance Service </t>
  </si>
  <si>
    <t>Care home</t>
  </si>
  <si>
    <t>This would include care homes from the public, private and third sectors and a mix of professionals.</t>
  </si>
  <si>
    <t>This would be inclusive of housing provided by local authorities, private landlords or housing associations and homelessness services.</t>
  </si>
  <si>
    <t>Children’s Services</t>
  </si>
  <si>
    <t>Eg Children’s reporter, CELCIS, Barnardos, Women and Children First.</t>
  </si>
  <si>
    <t>DATE REPORTED</t>
  </si>
  <si>
    <t>Cumulative number by end of quarter (eg January to March 2023)</t>
  </si>
  <si>
    <t>RATIONALE</t>
  </si>
  <si>
    <r>
      <rPr>
        <sz val="10"/>
        <color rgb="FF000000"/>
        <rFont val="Verdana"/>
        <family val="2"/>
      </rPr>
      <t xml:space="preserve">Shows volume of referrals, to identify seasonal or year on year trends. The data also shows which stakeholders are contributing – to inform awareness raising, training or learning and development or guidance needs across stakeholder groups  on appropriate referral pathways.’
Totals can be used in combination with Indicator 2 and 3 (inquiries without, and inquiries with- use of investigatory powers) — this provides data on conversion rate.
</t>
    </r>
    <r>
      <rPr>
        <sz val="10"/>
        <color rgb="FF000000"/>
        <rFont val="Verdana"/>
        <family val="2"/>
      </rPr>
      <t xml:space="preserve">
</t>
    </r>
    <r>
      <rPr>
        <sz val="10"/>
        <color rgb="FF000000"/>
        <rFont val="Verdana"/>
        <family val="2"/>
      </rPr>
      <t>Locally, totals can be used in combination with Indicator 2 and 3 (inquiries without, and inquiries with- use of investigatory powers) — to provide conversion rates.</t>
    </r>
  </si>
  <si>
    <t>Indicator 2</t>
  </si>
  <si>
    <t>Indicator 3</t>
  </si>
  <si>
    <t>Total inquiries where investigatory powers are not used</t>
  </si>
  <si>
    <r>
      <rPr>
        <sz val="10"/>
        <color theme="1"/>
        <rFont val="Verdana"/>
        <family val="2"/>
      </rPr>
      <t xml:space="preserve">It is the trigger point of an inquiry that determines what quarter it should be recorded in. This is pertinent to inquiries that conclude without use of investigatory powers, and to inquiries that use investigatory powers.
</t>
    </r>
    <r>
      <rPr>
        <b/>
        <sz val="10"/>
        <color theme="1"/>
        <rFont val="Verdana"/>
        <family val="2"/>
      </rPr>
      <t xml:space="preserve">Further notes
</t>
    </r>
    <r>
      <rPr>
        <sz val="10"/>
        <color theme="1"/>
        <rFont val="Verdana"/>
        <family val="2"/>
      </rPr>
      <t xml:space="preserve">
We do not expect ASP referrals to match the number of inquiries. We know, for example, that multiple agencies can make an ASP referral for the same person- triggered by the same or a different incident.
Neither should we equate the number of inquiries with the number of adults being inquired about. For example, a fresh ASP referral may result in a new inquiry being triggered in a quarter, if the previous inquiry has been closed. If it has not been closed, it would be a continuing inquiry with new information. Equally, if an initial case conference is pending or an adult has an ASPP in place, an ASP referral would provide new information, but would not </t>
    </r>
    <r>
      <rPr>
        <b/>
        <i/>
        <sz val="10"/>
        <color theme="1"/>
        <rFont val="Verdana"/>
        <family val="2"/>
      </rPr>
      <t>necessarily</t>
    </r>
    <r>
      <rPr>
        <sz val="10"/>
        <color theme="1"/>
        <rFont val="Verdana"/>
        <family val="2"/>
      </rPr>
      <t xml:space="preserve"> trigger a new inquiry.
We are aware that, in certain areas, some ASP referrals are closed to ASP processes before an S4 inquiry has been undertaken (separate from those circumstances described above). These may be passed/signposted to another team or service in the absence of a S4 inquiry. Guidance and clarification has been requested from the Scottish Government on the general duty to make inquiries under S4 of the Act. Any clarifying or best practice information received will contribute to future minimum dataset guidance regarding these particular indicators.</t>
    </r>
  </si>
  <si>
    <t>Inquiries and inquiries using investigatory powers</t>
  </si>
  <si>
    <t>The purpose of an inquiry, with or without use of investigatory powers, is to ascertain whether adults are at risk of harm, and whether the council may need to intervene, provide support, or any other assistance to the adult or any carer. Any use of investigatory powers is triggered through the S4 duty to inquire under the Act.
An inquiry using investigatory powers requires the involvement of a council officer (an individual appointed by a council to perform specific functions under the terms of the Act). It may also require production of a risk assessment if initial inquiries show that further ASP activity is warranted. An inquiry which does not use investigatory powers may or may not require the involvement of a council officer, depending on local arrangements and the nature of the tasks.
The collation and consideration of relevant materials, including consideration of previous records relating to the individual and seeking the views of other agencies and professionals, does not necessarily need to be undertaken by a council officer if these inquiries do not include use of investigatory powers. Investigatory powers will be required, and a council officer involved, where there is a need for a visit and direct contact with the adult for interview or medical examination, or for the examination of record (undertaking activity from Sections 7-10 of the Act).
Inquiries may involve a single agency or more, as relevant to the case.
It should be noted that use of inquiries (with or without use of investigatory powers) supports a move away from talking about inquiries and investigations, and is aligned with the revised Code of Practice (July 2022).</t>
  </si>
  <si>
    <t xml:space="preserve"> </t>
  </si>
  <si>
    <t>Indicator 4a</t>
  </si>
  <si>
    <t>INITIAL CASE CONFERENCES</t>
  </si>
  <si>
    <t>Number of initial case conferences</t>
  </si>
  <si>
    <t>Number of review case conferences</t>
  </si>
  <si>
    <t>Case conferences</t>
  </si>
  <si>
    <t>Tells us about levels of activity and resource demands on workforce; indicator on numbers of 'adults at risk' where further action is anticipated.</t>
  </si>
  <si>
    <t>Tells us about levels of activity and resource demands on workforce; tells us about due diligence in managing and monitoring individual cases.</t>
  </si>
  <si>
    <t>Indicator 5a</t>
  </si>
  <si>
    <t>The purpose of case conferences will be defined by local procedures but should include: the sharing of information relating to possible harm; the joint assessment of current and ongoing risk; agreement of a specific and detailed Support and Protection Plan (where required) with timescales for addressing risks and providing services to support and protect the adult. They are sometimes referred to as ‘initial’ and ‘review’ case conferences.
Case conferences should be as inclusive of multi-agencies as relevant. There is a presumption that the adult themselves will be in attendance (unless it is considered not to be in their best interests) or the adult freely chooses not to attend with no undue pressure from others.
It will consider actions that may need to be taken under the Adult protection legislation, but may also explore options for protecting people under other legislation - including (but not restricted to) provisions under the Mental Health (Care and Treatment) (Scotland) Act 2003 and the Adults with Incapacity (Scotland) Act 2000.</t>
  </si>
  <si>
    <t>Tells us where the 'adult at risk' has been involved, as a contributory factor to their views being taken into account.</t>
  </si>
  <si>
    <t>Indicator 8a</t>
  </si>
  <si>
    <t>NUMBER OF ADULTS ON ASPPs IN TOTAL AT END OF QUARTER</t>
  </si>
  <si>
    <t>Indicator 8b</t>
  </si>
  <si>
    <t>NUMBER OF ADULTS WITH NEWLY COMMENCED ASPPs WITHIN QUARTER ONLY</t>
  </si>
  <si>
    <t>Indicator 9a</t>
  </si>
  <si>
    <t>PROTECTION ORDERS (APPLIED FOR)</t>
  </si>
  <si>
    <t>Indicator 9b</t>
  </si>
  <si>
    <t>PROTECTION ORDERS (GRANTED)</t>
  </si>
  <si>
    <t xml:space="preserve">Total number of managed ASPPs </t>
  </si>
  <si>
    <t>Total number of newly commenced ASPPs</t>
  </si>
  <si>
    <t>Assessment orders</t>
  </si>
  <si>
    <t>Removal orders</t>
  </si>
  <si>
    <t>Banning or temporary banning orders</t>
  </si>
  <si>
    <t>Total number of adults on open plans under ASP at the end of a quarter. 
Please note, an ASPP is closed when there is no longer any ASP oversight of support actions.</t>
  </si>
  <si>
    <t xml:space="preserve">Total newly commenced ASPPs are those started in a quarter and exclude review plans.  An ASPP revised at a review Case Conference is NOT a new ASPP. </t>
  </si>
  <si>
    <t xml:space="preserve">Adult Support and Protection Plans (ASPPs) </t>
  </si>
  <si>
    <t>An Adult Support and Protection Plan is a set of actions and strategies agreed by relevant agencies (single or multi-agency) and put in place to support and protect ‘adults at risk’ meeting the three-point criteria. The Plan is designed to eliminate or reduce risk, manage this over time and respond to changing circumstances, overseen through case conference processes. Plans will stay in place until agreed that they are no longer necessary.
Adult Support and Protection Plans should be agreed across all relevant agencies identifying who is responsible for which aspects of the plan, the anticipated timetable, and reporting arrangements. This should include a date for a review meeting - unless it has been agreed that no further actions are required under the terms of the Act. It is also expected that the adult should be supported to contribute to the fullest possible extent and understand the actions in the said Plan.
An Adult Protection Plan can be initiated at any point of the ASP process depending on need or urgency or local processes, but most commonly at a case conference.</t>
  </si>
  <si>
    <t>Protection orders</t>
  </si>
  <si>
    <r>
      <rPr>
        <sz val="10"/>
        <color theme="1"/>
        <rFont val="Verdana"/>
        <family val="2"/>
      </rPr>
      <t xml:space="preserve">The Act allows for application to a sheriff for a Protection Order. Applications must be made by the council, save for banning orders. Here, the application may also be made by or on behalf of the adult whose well-being or property would be safeguarded by the order, or any other person who is entitled to occupy the place concerned. 
Protection Orders may be applied for at any time. Applications can be made for another Protection Order, but not until the expiry date of the one in place.
</t>
    </r>
    <r>
      <rPr>
        <b/>
        <sz val="10"/>
        <color theme="1"/>
        <rFont val="Verdana"/>
        <family val="2"/>
      </rPr>
      <t>Assessment Orders</t>
    </r>
    <r>
      <rPr>
        <sz val="10"/>
        <color theme="1"/>
        <rFont val="Verdana"/>
        <family val="2"/>
      </rPr>
      <t xml:space="preserve">
An order granted by a sheriff to help the council decide whether the person is an adult at risk and, if so, whether it needs to do anything to protect the person from harm. These may be to carry out an interview or medical examination of a person and are valid for 7 days.
</t>
    </r>
    <r>
      <rPr>
        <b/>
        <sz val="10"/>
        <color theme="1"/>
        <rFont val="Verdana"/>
        <family val="2"/>
      </rPr>
      <t>Removal Orders</t>
    </r>
    <r>
      <rPr>
        <sz val="10"/>
        <color theme="1"/>
        <rFont val="Verdana"/>
        <family val="2"/>
      </rPr>
      <t xml:space="preserve">
An order granted by a sheriff to remove an adult at risk to a specified place to assess and protect them, effective for a maximum of 7 days after the day on which the person is removed, which must take place within 72 hours of the order being granted.
</t>
    </r>
    <r>
      <rPr>
        <b/>
        <sz val="10"/>
        <color theme="1"/>
        <rFont val="Verdana"/>
        <family val="2"/>
      </rPr>
      <t>Banning/Temporary Banning Orders</t>
    </r>
    <r>
      <rPr>
        <sz val="10"/>
        <color theme="1"/>
        <rFont val="Verdana"/>
        <family val="2"/>
      </rPr>
      <t xml:space="preserve">
An order granted by a sheriff to ban the person causing, or likely to cause, the harm from being in a specified place. It may have other conditions attached to it, and may last for a period of time not exceeding 6 months. The subject of the order may be a child or adult. Serious harm must be evidenced.
In case of urgency, a council can apply to a justice of the peace of the commission area, as opposed to a sheriff, with different arrangements in place for this.</t>
    </r>
  </si>
  <si>
    <t>Tells us about levels of activity and the volume of 'adults at risk' being supported with an Adult Support and Protection Plan in place.</t>
  </si>
  <si>
    <t>Tells us about workforce demands and use of legislative framework as applied to 'adults at risk'.</t>
  </si>
  <si>
    <t>Indicator 10</t>
  </si>
  <si>
    <t>ACTION TAKEN FOLLOWING INQUIRIES CONCLUDED WITHOUT THE USE OF INVESTIGATORY POWERS</t>
  </si>
  <si>
    <t>Indicator 11</t>
  </si>
  <si>
    <t>ACTION TAKEN FOLLOWING INQUIRIES USING INVESTIGATORY POWERS</t>
  </si>
  <si>
    <t>Does not meet three-point criteria — NFA</t>
  </si>
  <si>
    <t>Does not meet three point criteria - non-ASP support provided or offered</t>
  </si>
  <si>
    <t>Meets three-point criteria — ongoing ASP work</t>
  </si>
  <si>
    <t>Meets three-point criteria — non-ASP support provided or offered</t>
  </si>
  <si>
    <t>Meets three-point criteria — no opportunity for further ASP intervention</t>
  </si>
  <si>
    <t>Pending/Unknown</t>
  </si>
  <si>
    <r>
      <rPr>
        <sz val="10"/>
        <color theme="1"/>
        <rFont val="Verdana"/>
        <family val="2"/>
      </rPr>
      <t xml:space="preserve">Please count all inquiries triggered in a quarter and record actions taken where these are known. Actions can be tracked up to the submission date you have been provided with for each quarterly data return.
</t>
    </r>
    <r>
      <rPr>
        <b/>
        <sz val="10"/>
        <color theme="1"/>
        <rFont val="Verdana"/>
        <family val="2"/>
      </rPr>
      <t xml:space="preserve">To illustrate:
</t>
    </r>
    <r>
      <rPr>
        <sz val="10"/>
        <color theme="1"/>
        <rFont val="Verdana"/>
        <family val="2"/>
      </rPr>
      <t xml:space="preserve">
If 100 inquiries were begun in Quarter 1 (1 April - 30 June inclusive) we ask you to record what actions were taken, tracking these up to August 12th, the Scottish Government submission date for returns. Please select the action taken from the list of categories provided.
</t>
    </r>
    <r>
      <rPr>
        <b/>
        <sz val="10"/>
        <color theme="1"/>
        <rFont val="Verdana"/>
        <family val="2"/>
      </rPr>
      <t>We understand that there may be delays that result in actions taken being recorded as pending/unknown. We ask you to provide commentary in the free box on the reasons for delays eg. delay in receipt of financial records requested of other agencies as part of an inquiry.</t>
    </r>
  </si>
  <si>
    <t xml:space="preserve"> Does not meet three-point criteria —  NFA</t>
  </si>
  <si>
    <t>This is where the adult does not meet the three point criteria, there is no requirement for any social work involvement and no requirement to refer to another agency ie. NFA.</t>
  </si>
  <si>
    <t>Every time we intervene in a persons’ life we can only do so under a legislative framework. We might determine during an inquiry that the adult is an adult at risk (as defined under the ASPA) but it is not of benefit or it is the least restrictive option to continue that intervention under a different statute i.e. Social Work (Scotland) Act 1968.
Illustrations
This might include scenarios where:
•	the inquiry identifies that the person is better suited to support under the Adults with Incapacity (Scotland) Act 2000 by the statutory mental health team (MHOs), or
•	a new adult care assessment under self-directed support is agreed to complement support for the adult to manage risk, or 
•	existing care management plans are deemed sufficient or can be supplemented with, for example, additional 1-1 support for an adult in a care home in increasing distress.
In these situations, it would be closed to ASP and not managed by its processes despite meeting the three point criteria.
However, we also recognise that practice in this area varies, and in some areas the case would remain under ASP - either as ongoing ASP work with the case proceeding to a case conference, or in situations where a person has died, it would be recorded as ‘no opportunity for further ASP intervention’.</t>
  </si>
  <si>
    <t xml:space="preserve">For ‘Meets 3 point criteria- no opportunity for further ASP intervention. This should be selected in instances where there is no opportunity for further ASP intervention, for example where the adult has died during the ASP process and there is no opportunity to complete an inquiry.  
If the adult has moved to another area and their case has been transferred ie. via a transfer case conference, this should be recorded under Category 3 ‘Meets 3 point criteria- ongoing ASP work’.
</t>
  </si>
  <si>
    <t xml:space="preserve">The purpose of an inquiry, with or without use of investigatory powers, is to ascertain whether adults are at risk of harm, and whether the council may need to intervene, provide support, or any other assistance to the adult or any carer. Any use of investigatory powers is triggered through the S4 duty to inquire under the Act.
An inquiry using investigatory powers requires the involvement of a council officer (an individual appointed by a council to perform specific functions under the terms of the Act).  It will also require production of a full risk assessment. An inquiry which does not use investigatory powers may or may not require the involvement of a council officer, depending on local arrangements and the nature of the tasks.
The collation and consideration of relevant materials, including consideration of previous records relating to the individual and seeking the views of other agencies and professionals, does not necessarily need to be undertaken by a council officer if these inquiries do not include use of investigatory powers. Investigatory powers will be required, and a council officer involved, where there is a need for a visit and direct contact with the adult for interview or medical examination, or for the examination of record. 
Inquiries may involve a single agency or more, as relevant, to the case. 
It should be noted that use of inquiries (with or without use of investigatory powers) supports a move away from talking about inquiries and investigations, and is aligned with the revised Code of Practice (July 2022). </t>
  </si>
  <si>
    <t>Tells us about numbers of vulnerable adults assessed as meeting the three-point criteria, proportion if onging ASP work, proportions referred to other non-ASP services, placing work in context.
Important in monitoring numbers assessed as meeting the three point criteria over time in a changing context of trauma-informed practice.</t>
  </si>
  <si>
    <t>Indicator 13</t>
  </si>
  <si>
    <t>AGE GROUP AND GENDER (FOR ALL INQUIRIES)</t>
  </si>
  <si>
    <t>Male</t>
  </si>
  <si>
    <t>Female</t>
  </si>
  <si>
    <t>Trans or non-binary</t>
  </si>
  <si>
    <t>Prefer not to say</t>
  </si>
  <si>
    <t>All adults</t>
  </si>
  <si>
    <t>16-17</t>
  </si>
  <si>
    <t>18-24</t>
  </si>
  <si>
    <t>25-34</t>
  </si>
  <si>
    <t>35-44</t>
  </si>
  <si>
    <t>45-54</t>
  </si>
  <si>
    <t>55-64</t>
  </si>
  <si>
    <t>65-69</t>
  </si>
  <si>
    <t>70-74</t>
  </si>
  <si>
    <t>75-79</t>
  </si>
  <si>
    <t>80-84</t>
  </si>
  <si>
    <t>85 +</t>
  </si>
  <si>
    <t>Not known</t>
  </si>
  <si>
    <r>
      <rPr>
        <sz val="10"/>
        <color theme="1"/>
        <rFont val="Verdana"/>
        <family val="2"/>
      </rPr>
      <t xml:space="preserve">To be captured for </t>
    </r>
    <r>
      <rPr>
        <b/>
        <sz val="10"/>
        <color theme="1"/>
        <rFont val="Verdana"/>
        <family val="2"/>
      </rPr>
      <t>all</t>
    </r>
    <r>
      <rPr>
        <sz val="10"/>
        <color theme="1"/>
        <rFont val="Verdana"/>
        <family val="2"/>
      </rPr>
      <t xml:space="preserve"> inquiries, irrespective of whether investigatory powers are used or not. qawAn ASPP is closed when there is no longer any ASP oversight of support actions.</t>
    </r>
  </si>
  <si>
    <t xml:space="preserve">Tells us about the most vulnerable adults in the system - who they are and what types of harm they face and where.
The 16-17 age band is to capture data on those in transition from or spanning children and adult services.
We have  new age bandings for data collected at inquiry stage (indicator 13) for 2025-26 to align more closely with Health and Social Care Datasets. These are at 10 year intervals from age 25 years up to the age of 65, after which we will have 5 year intervals up to 84 years. The 16-17 year category will be retained  as it is useful to know whether young adults are being referred to and progressed through ASP or Child Protection procedures. </t>
  </si>
  <si>
    <t>Indicator 14</t>
  </si>
  <si>
    <t>ETHNICITY (FOR ALL INQUIRIES)</t>
  </si>
  <si>
    <t>White</t>
  </si>
  <si>
    <t>Mixed or multiple ethnic groups</t>
  </si>
  <si>
    <t>Asian, Scottish Asian or British Asian</t>
  </si>
  <si>
    <t>African, Scottish African or British African</t>
  </si>
  <si>
    <t>Caribbean or Black</t>
  </si>
  <si>
    <t>Other ethnic group</t>
  </si>
  <si>
    <r>
      <rPr>
        <sz val="10"/>
        <color theme="1"/>
        <rFont val="Verdana"/>
        <family val="2"/>
      </rPr>
      <t xml:space="preserve">To be captured for </t>
    </r>
    <r>
      <rPr>
        <b/>
        <sz val="10"/>
        <color theme="1"/>
        <rFont val="Verdana"/>
        <family val="2"/>
      </rPr>
      <t>all</t>
    </r>
    <r>
      <rPr>
        <sz val="10"/>
        <color theme="1"/>
        <rFont val="Verdana"/>
        <family val="2"/>
      </rPr>
      <t xml:space="preserve"> inquiries, irrespective of whether investigatory powers are used or not.</t>
    </r>
  </si>
  <si>
    <r>
      <rPr>
        <sz val="10"/>
        <color theme="1"/>
        <rFont val="Verdana"/>
        <family val="2"/>
      </rPr>
      <t xml:space="preserve">Tells us about the most vulnerable adults in the system- who they are and what types of harm they face and where.
The categories used for ethnicity mirror those used in the last census, 2022: </t>
    </r>
    <r>
      <rPr>
        <u/>
        <sz val="10"/>
        <color rgb="FF1155CC"/>
        <rFont val="Verdana"/>
        <family val="2"/>
      </rPr>
      <t>https://www.scotlandscensus.gov.uk/media/fxonlo0d/scotlands-census-2022-question-set-version-v4-0-09-09-2021.pdf</t>
    </r>
  </si>
  <si>
    <t>Indicator 15a</t>
  </si>
  <si>
    <t>PRIMARY TYPE OF HARM (FOR INQUIRIES CONCLUDED WITHOUT THE USE OF INVESTIGATORY POWERS)</t>
  </si>
  <si>
    <t>Indicator 15b</t>
  </si>
  <si>
    <t>PRIMARY TYPE OF HARM (FOR INQUIRIES USING INVESTIGATORY POWERS)</t>
  </si>
  <si>
    <t>Physical harm</t>
  </si>
  <si>
    <t>Sexual harm</t>
  </si>
  <si>
    <t>Psychological/emotional harm</t>
  </si>
  <si>
    <t>Financial or Material harm</t>
  </si>
  <si>
    <t>Neglect and Acts of Omission</t>
  </si>
  <si>
    <t>Discriminatory harm</t>
  </si>
  <si>
    <t>Self Harm</t>
  </si>
  <si>
    <t>Domestic abuse</t>
  </si>
  <si>
    <t>Human trafficking and/or Exploitation</t>
  </si>
  <si>
    <t>If possible, please use the fields below to provide a breakdown of the types of harm combined within the 'Other' category above.</t>
  </si>
  <si>
    <t>Primary type of harm only. To be captured for all inquiries where investigory powers are not used, those where they are used, and for all those with ASPPs in place.</t>
  </si>
  <si>
    <t>Can include hitting, slapping, pushing, kicking, misuse of medication, restraint or inappropriate sanctions.</t>
  </si>
  <si>
    <t>Can include rape and sexual assault or sexual acts to which the adult at risk has not consented, could not consent or was pressured into consenting.</t>
  </si>
  <si>
    <t>Can include emotional abuse, threats of harm or abandonment, deprivation of contact, humiliation, blaming, controlling, intimidation, coercion, harassment, verbal abuse, isolation or withdrawal from services or supportive networks</t>
  </si>
  <si>
    <t>Can include theft, fraud, exploitation, pressure in connection with wills, property, inheritance, financial transactions, or the misuse or misappropriation of property, possessions or benefits.</t>
  </si>
  <si>
    <t>Can include ignoring medical or physical care needs, failure to provide access to appropriate health, social care or educational services, the withholding of the necessities of life, such as medication, adequate nutrition or heating.</t>
  </si>
  <si>
    <t>Includes actions (or omissions) and / or remarks of a prejudicial nature focusing on a person’s age, gender, disability, race, colour, sexual or religious orientation.</t>
  </si>
  <si>
    <t>When an individual, knowingly or unknowingly, behaves in a way that directly or indirectly, causes serious harm to their physical, psychological or social well-being. Self-harm is complex and can vary widely from individual to individual. It can serve a variety of functions including but not limited to, a way of coping with distress or trauma, a way to regulate emotions, communicate feelings, gain control, as a form of self-punishment or as a way to feel present and alive Self-Harm may manifest in various forms such as self-injury (eg.  cutting or burning oneself), self-poisoning (such as taking an overdose of drugs, medication or other substances), but it can also include other health harming behaviours such as having an eating disorder, problematic use of alcohol, drugs, or gambling, or simply not looking after their emotional or physical needs.</t>
  </si>
  <si>
    <t>The inability (intentional or non-intentional) to maintain a socially and culturally accepted standard of self-care with the potential for serious consequences to the health and well-being of the self-neglecter and perhaps even to their community. (Gibbons et al., 2006)
Self-neglect can include:
- Lack of self-care to an extent that it threatens personal health and safety
- Neglecting to care for one’s personal hygiene, health or surroundings
- Inability to avoid harm as a result of self-neglect
- Failure to seek help or access services to meet health and social care needs
- Inability or unwillingness to manage one’s personal affairs</t>
  </si>
  <si>
    <t>Domestic abuse can be any form of physical, verbal, sexual, psychological or financial abuse which takes place within the context of a relationship. The relationship may be between partners (married, cohabiting, civil partnership or otherwise) or ex-partners. The abuse may be committed in the home or elsewhere including online.
Examples of domestic abuse include:
- Being threatened or name calling
- Controlling what you do, where you go and who you speak to
- Threatening your children
- Not being allowed see friends and family
- Sharing - or threatening to share - intimate images of you with family, friends or work colleagues
- Being hit, kicked, punched, or have objects thrown at you
- Rape, being forced into sexual acts.</t>
  </si>
  <si>
    <t>Human trafficking and/or Exploitation (for further information please click on the cell)</t>
  </si>
  <si>
    <t>Tells us about the most vulnerable adults in the system - who they are and what types of harm they face and where.
Total identifies number of individuals being referred to and processed by the system.</t>
  </si>
  <si>
    <t>Indicator 16a</t>
  </si>
  <si>
    <t>LOCATION OF HARM (FOR INQUIRIES CONCLUDED WITHOUT THE USE OF INVESTIGATORY POWERS)</t>
  </si>
  <si>
    <t>Indicator 16b</t>
  </si>
  <si>
    <t>LOCATION OF HARM (FOR INQUIRIES USING INVESTIGATORY POWERS)</t>
  </si>
  <si>
    <t>Own home</t>
  </si>
  <si>
    <t>Other private address</t>
  </si>
  <si>
    <t>Sheltered housing/other supported accommodation</t>
  </si>
  <si>
    <t>Day Centre</t>
  </si>
  <si>
    <t>Public place</t>
  </si>
  <si>
    <t>NHS facility</t>
  </si>
  <si>
    <t>Independent hospital</t>
  </si>
  <si>
    <t>Online</t>
  </si>
  <si>
    <t>If possible, please use the fields below to provide a breakdown of the locations combined within the 'Other' category above.</t>
  </si>
  <si>
    <t>Primary location of harm only.  To be captured for all inquiries where investigory powers are not used, those where they are used, and for all those with ASPPs in place.</t>
  </si>
  <si>
    <t>Indicator 17a</t>
  </si>
  <si>
    <t>PRIMARY CLIENT GROUP (FOR INQUIRIES CONCLUDED WITHOUT THE USE OF INVESTIGATORY POWERS)</t>
  </si>
  <si>
    <t>Indicator 17b</t>
  </si>
  <si>
    <t>PRIMARY CLIENT GROUP (FOR INQUIRIES USING INVESTIGATORY POWERS)</t>
  </si>
  <si>
    <t>Dementia</t>
  </si>
  <si>
    <t>Mental Health (excl. dementia)</t>
  </si>
  <si>
    <t>Learning Disability</t>
  </si>
  <si>
    <t>Autism / Autism spectrum</t>
  </si>
  <si>
    <t>Physical Disability</t>
  </si>
  <si>
    <t>Infirmity/frailty due to age</t>
  </si>
  <si>
    <t>Palliative care</t>
  </si>
  <si>
    <t>Acquired brain injury</t>
  </si>
  <si>
    <t>Alcohol-related brain damage</t>
  </si>
  <si>
    <t>Substance misuse/addiction</t>
  </si>
  <si>
    <t>Autism/ Autism spectrum</t>
  </si>
  <si>
    <t>If possible, please use the fields below to provide a breakdown of the client groups combined within the 'Other' category above.</t>
  </si>
  <si>
    <t>Primary client group only.  To be captured for all inquiries where investigory powers are not used, those where they are used, and for all those with ASPPs in place.</t>
  </si>
  <si>
    <t xml:space="preserve">Palliative care </t>
  </si>
  <si>
    <t>Palliative care is for people with serious health conditions to relieve suffering and enable them to live as well as possible. There is a move away from talking about ‘end of life’ or ‘end of life care’ and a life expectancy approach. It is not possible to predict and make judgements with any validity on when a person will die (nor should this be the basis for planning or offering support). This guidance will be reviewed/refreshed as necessary following publication of Scottish Government’s incoming strategy on palliative care.</t>
  </si>
  <si>
    <t>Indicator 18a</t>
  </si>
  <si>
    <t>NO. OF INQUIRIES USING INVESTIGATORY POWERS WHERE ADULT HAS CARING RESPONSIBILITIES</t>
  </si>
  <si>
    <t>Indicator 18b</t>
  </si>
  <si>
    <t>NO. OF INQUIRIES USING INVESTIGATORY POWERS WHERE CHILD WAS PRESENT AT INCIDENT</t>
  </si>
  <si>
    <t>Number of inquiries where adult at risk has child care responsibilities</t>
  </si>
  <si>
    <t>Number of inquiries where adult at risk has caring responsibilities for other adults</t>
  </si>
  <si>
    <t>Number of cases where a child was present at the incident</t>
  </si>
  <si>
    <t>TBC</t>
  </si>
  <si>
    <t>Adult has child care responsibilities</t>
  </si>
  <si>
    <r>
      <rPr>
        <sz val="10"/>
        <color theme="1"/>
        <rFont val="Verdana"/>
        <family val="2"/>
      </rPr>
      <t xml:space="preserve">A dependent child is any person aged 0 to 15 in a household (whether or not in a family) or a person aged 16 to 18 who’s in full-time education and living in a family with his or her parent(s) or grandparent(s). It does not include any people aged 16 to 18 who have a spouse, partner or child living in the household.
A family is defined as a group of people who are:
•  A married, same-sex civil partnership, or cohabiting couple, with or without child(ren),
•  A lone parent with child(ren),
•  A married, same-sex civil partnership, or cohabiting couple with grandchild(ren) but with no children present from the 
    intervening generation, or
•  A single grandparent with grandchild(ren) but no children present from the intervening generation.
Children in couple families need not belong to both members of the couple.
For single or couple grandparents with grandchildren present, the children of the grandparent(s) may also be present if they are not the parents or grandparents of the youngest generation present.
Source definition: </t>
    </r>
    <r>
      <rPr>
        <u/>
        <sz val="10"/>
        <color rgb="FF1155CC"/>
        <rFont val="Verdana"/>
        <family val="2"/>
      </rPr>
      <t>https://www.scotlandscensus.gov.uk/metadata/dependent-children-in-family/</t>
    </r>
  </si>
  <si>
    <t>Adult has adult care responsibilities</t>
  </si>
  <si>
    <t>Indicator 19a</t>
  </si>
  <si>
    <t>LARGE SCALE INVESTIGATIONS (BY SERVICE TYPE)</t>
  </si>
  <si>
    <t>Care homes</t>
  </si>
  <si>
    <t>Support services (adult day care, care at home, sheltered housing or small group living support, etc)</t>
  </si>
  <si>
    <t>NHS Hospital</t>
  </si>
  <si>
    <t>NHS Primary Care (excl. Hospital) eg GP staff, dentists etc.</t>
  </si>
  <si>
    <t>NHS Community/Secondary Care</t>
  </si>
  <si>
    <t>Community groups (religious settings etc)</t>
  </si>
  <si>
    <t>If possible, please use the field below to provide a breakdown of the LSI setting combined within the 'Other' category above.</t>
  </si>
  <si>
    <t>Care homes - unique CS number for each LSI</t>
  </si>
  <si>
    <t>Support services - unique CS number for each LSI</t>
  </si>
  <si>
    <t>National hospital code for each LSI commenced (see 'Notes on completion')</t>
  </si>
  <si>
    <r>
      <rPr>
        <sz val="10"/>
        <color theme="1"/>
        <rFont val="Verdana"/>
        <family val="2"/>
      </rPr>
      <t xml:space="preserve">For LSIs taking place in a hospital setting, please record the relevant national hospital code found in this list of 'Current NHS Hospitals in Scotland' [ </t>
    </r>
    <r>
      <rPr>
        <b/>
        <sz val="10"/>
        <color theme="1"/>
        <rFont val="Verdana"/>
        <family val="2"/>
      </rPr>
      <t>https://bit.ly/447JK40</t>
    </r>
    <r>
      <rPr>
        <sz val="10"/>
        <color theme="1"/>
        <rFont val="Verdana"/>
        <family val="2"/>
      </rPr>
      <t xml:space="preserve"> ] — the code to be entered is found in column two, 'Location'). Please note that these national codes are different to local NHS Board ones. If the hospital in question is not on this national list, please record 'not on the national list.'</t>
    </r>
  </si>
  <si>
    <t>Large Scale Investigations (LSIs)</t>
  </si>
  <si>
    <r>
      <rPr>
        <sz val="10"/>
        <color rgb="FF000000"/>
        <rFont val="Verdana"/>
        <family val="2"/>
      </rPr>
      <t xml:space="preserve">An LSI is conducted when it is suspected that more than one adult in a given service may be at risk of harm. This may relate to adult residents in a care home, supported accommodation, an NHS hospital or other facility, or those who receive services in their own home. The risk of harm may be due to another resident, a member of staff, some failing or deficit in the management regime or in the environment of the establishment or service.
Decisions about whether to proceed to an LSI or not, are expected to take place in a multi-agency meeting and for these meetings to be chaired by a senior officer of the council at Head of Service level or above.
</t>
    </r>
    <r>
      <rPr>
        <sz val="10"/>
        <color rgb="FF000000"/>
        <rFont val="Verdana"/>
        <family val="2"/>
      </rPr>
      <t>There is a duty to "alert and involve" relevant bodies of LSIs as set out in the ASP Code of Practice including the Care Inspectorate. To ensure this, there is a single point of contact available on the Care Inspectorate’s website where you can notify them about LSI i) commencement and ii) conclusion of the LSI. Where services are registered with the Care Inspectorate, you should involve them in the investigation itself where appropriate.</t>
    </r>
  </si>
  <si>
    <t>Cumulative values by end of quarter (eg January to March 2023)</t>
  </si>
  <si>
    <t>Is indicative of demands on the workforce and that large numbers of adults within a service may be at risk.</t>
  </si>
  <si>
    <t>Capturing the unique CS number forthose registered with the Care Inspectorate will also ensure that we can pinpoint exactly which providers are the focus of an LSI and help those with national oversight make connections across local areas.</t>
  </si>
  <si>
    <t>SUGGESTED PRESENTATION</t>
  </si>
  <si>
    <t>Q1 2027/28</t>
  </si>
  <si>
    <t>Q2  2027/28</t>
  </si>
  <si>
    <t>Q3  2027/28</t>
  </si>
  <si>
    <t>Q4  2027/28</t>
  </si>
  <si>
    <t>Q1 2028/29</t>
  </si>
  <si>
    <t>Q2  2028/29</t>
  </si>
  <si>
    <t>Q3  2028/29</t>
  </si>
  <si>
    <t>Q4  2028/29</t>
  </si>
  <si>
    <t>Q1  2029/30</t>
  </si>
  <si>
    <t>Q2  2029/30</t>
  </si>
  <si>
    <t>Q3  2029/30</t>
  </si>
  <si>
    <t>Q4  2029/30</t>
  </si>
  <si>
    <t>Q1  2030/31</t>
  </si>
  <si>
    <t>Q2  2030/31</t>
  </si>
  <si>
    <t>Q3  2030/31</t>
  </si>
  <si>
    <t>Q4  2030/31</t>
  </si>
  <si>
    <t>Q1  2031/32</t>
  </si>
  <si>
    <t>Q2  2031/32</t>
  </si>
  <si>
    <t>Q3  2031/32</t>
  </si>
  <si>
    <t>Q4  2031/32</t>
  </si>
  <si>
    <t>Q2 2027/28</t>
  </si>
  <si>
    <t>Q3 2027/28</t>
  </si>
  <si>
    <t>Q4 2027/28</t>
  </si>
  <si>
    <t>Q2 2028/29</t>
  </si>
  <si>
    <t>Q3 2028/29</t>
  </si>
  <si>
    <t>Q4 2028/29</t>
  </si>
  <si>
    <t>Q1 2029/30</t>
  </si>
  <si>
    <t>Q2 2029/30</t>
  </si>
  <si>
    <t>Q3 2029/30</t>
  </si>
  <si>
    <t>Q4 2029/30</t>
  </si>
  <si>
    <t>Q1 2030/31</t>
  </si>
  <si>
    <t>Q2 2030/31</t>
  </si>
  <si>
    <t>Q3 2030/31</t>
  </si>
  <si>
    <t>Q4 2030/31</t>
  </si>
  <si>
    <t>Q1 2031/32</t>
  </si>
  <si>
    <t>Q2 2031/32</t>
  </si>
  <si>
    <t>Q3 2031/32</t>
  </si>
  <si>
    <t>Q4 2031/32</t>
  </si>
  <si>
    <t>Total inquiries where  investigatory powers are used</t>
  </si>
  <si>
    <t>INQUIRIES UNDERTAKEN WITHOUT THE USE OF INVESTIGATORY POWERS</t>
  </si>
  <si>
    <t>INQUIRIES UNDERTAKEN WITH THE USE OF INVESTIGATORY POWERS</t>
  </si>
  <si>
    <t>Check Action taken matches number of inquiries without the use of investigatory powers</t>
  </si>
  <si>
    <t>Check Action taken matches number of inquiries with the use of investigatory powers</t>
  </si>
  <si>
    <t>Check if age and gender match all inquiries</t>
  </si>
  <si>
    <t>Check if ethnicity match all inquiries</t>
  </si>
  <si>
    <t>Check type of harm matches number of inquiries without the use of investigatory powers</t>
  </si>
  <si>
    <t>Check type of harm matches number of inquiries with the use of investigatory powers</t>
  </si>
  <si>
    <t>This graph can go into the reporting template and will show the number of LSIs per location each quarter. We would recommend not showing more than 4 years of data at a time.</t>
  </si>
  <si>
    <t>Self harm</t>
  </si>
  <si>
    <t>Supplemental</t>
  </si>
  <si>
    <t>Total referrals</t>
  </si>
  <si>
    <t>Total inquiries</t>
  </si>
  <si>
    <t>NOT TO BE USED FOR DATA ENTRY</t>
  </si>
  <si>
    <t>Conversion rate (%)</t>
  </si>
  <si>
    <t>Conversion data</t>
  </si>
  <si>
    <t>Inquiries as percent of whole</t>
  </si>
  <si>
    <t>Total inquiries where investigatory powers are not used (%)</t>
  </si>
  <si>
    <t>Total inquiries where  investigatory powers are used (%)</t>
  </si>
  <si>
    <t>CONVERSION RATES OF REFERRALS TO INQUIRIES</t>
  </si>
  <si>
    <t>Indicator 5a - Indicator 5b</t>
  </si>
  <si>
    <t>Indicator 6a - Indicator 6b</t>
  </si>
  <si>
    <t>Number of independent advocates who did attend</t>
  </si>
  <si>
    <t>Number of adults who did attend</t>
  </si>
  <si>
    <t>MINIMUM DATASET FOR ADULT PROTECTION COMMITTEES: VERSION 1.1 (MID 2026)</t>
  </si>
  <si>
    <t>Q1 2023/24</t>
  </si>
  <si>
    <t>Q2 2023/24</t>
  </si>
  <si>
    <t>Q3 2023/24</t>
  </si>
  <si>
    <t>Q4 2023/24</t>
  </si>
  <si>
    <t>HELPER TABLES FOR I.13</t>
  </si>
  <si>
    <t>HELPER TABLES FOR I2-3 CHARTS</t>
  </si>
  <si>
    <t>HELPER TABLES FOR I.5-6 CHARTS</t>
  </si>
  <si>
    <t>The charts included in the workbook are intended to be used in conjunction with the supplied reporting template. Their use is optional, and should be considered as a starting point from which to develop a reporting system that best suits your local needs.</t>
  </si>
  <si>
    <t>When copying charts over to the template, we strongly recommend adding them as pictures. This will avoid issues should the path between the template and workbook change, or should the latter be renamed, for example. Instructions are provided below.</t>
  </si>
  <si>
    <t>Pasting an Excel chart into Word as a picture</t>
  </si>
  <si>
    <t>Step 1 — Copy the chart in Excel</t>
  </si>
  <si>
    <t>Step 2 — Paste as a picture in Word</t>
  </si>
  <si>
    <t>The chart is now pasted as a static image with no link back to Excel.</t>
  </si>
  <si>
    <r>
      <t xml:space="preserve">Tip: </t>
    </r>
    <r>
      <rPr>
        <sz val="11"/>
        <color rgb="FF000000"/>
        <rFont val="Arial"/>
        <family val="2"/>
      </rPr>
      <t xml:space="preserve">If you're not sure which paste option you used, right-click the pasted item in Word. If the menu shows </t>
    </r>
    <r>
      <rPr>
        <i/>
        <sz val="11"/>
        <color rgb="FF000000"/>
        <rFont val="Arial"/>
        <family val="2"/>
      </rPr>
      <t>Edit Data</t>
    </r>
    <r>
      <rPr>
        <sz val="11"/>
        <color rgb="FF000000"/>
        <rFont val="Arial"/>
        <family val="2"/>
      </rPr>
      <t xml:space="preserve"> or </t>
    </r>
    <r>
      <rPr>
        <i/>
        <sz val="11"/>
        <color rgb="FF000000"/>
        <rFont val="Arial"/>
        <family val="2"/>
      </rPr>
      <t>Update Link</t>
    </r>
    <r>
      <rPr>
        <sz val="11"/>
        <color rgb="FF000000"/>
        <rFont val="Arial"/>
        <family val="2"/>
      </rPr>
      <t>, it's a linked object — delete it and paste again as a picture.</t>
    </r>
  </si>
  <si>
    <t>Exporting Excel charts as pictures</t>
  </si>
  <si>
    <r>
      <t xml:space="preserve">There may be times when it is helpful to export all charts from the workbook as images simultaneously. The best way to achieve this is by using the </t>
    </r>
    <r>
      <rPr>
        <i/>
        <sz val="11"/>
        <color rgb="FF000000"/>
        <rFont val="Arial"/>
        <family val="2"/>
      </rPr>
      <t>Save as Web Page</t>
    </r>
    <r>
      <rPr>
        <sz val="11"/>
        <color rgb="FF000000"/>
        <rFont val="Arial"/>
        <family val="2"/>
      </rPr>
      <t xml:space="preserve"> feature in Excel.</t>
    </r>
  </si>
  <si>
    <t>Step 1 — Save the workbook as a web page</t>
  </si>
  <si>
    <t>Step 2 — Find your chart images</t>
  </si>
  <si>
    <t>When Excel saves as a web page, it automatically creates a folder in the location you chose.</t>
  </si>
  <si>
    <r>
      <t xml:space="preserve">Open that folder. Inside you'll find all the charts from your workbook saved as individual </t>
    </r>
    <r>
      <rPr>
        <b/>
        <sz val="11"/>
        <color rgb="FF000000"/>
        <rFont val="Arial"/>
        <family val="2"/>
      </rPr>
      <t>.png</t>
    </r>
    <r>
      <rPr>
        <sz val="11"/>
        <color rgb="FF000000"/>
        <rFont val="Arial"/>
        <family val="2"/>
      </rPr>
      <t xml:space="preserve"> image files, named image001.png, image002.png, and so on.</t>
    </r>
  </si>
  <si>
    <t>Step 3 — Use the images</t>
  </si>
  <si>
    <r>
      <t xml:space="preserve">You can now insert any of these image files into Word (or any other application) using </t>
    </r>
    <r>
      <rPr>
        <b/>
        <sz val="11"/>
        <color rgb="FF000000"/>
        <rFont val="Arial"/>
        <family val="2"/>
      </rPr>
      <t>Insert → Pictures</t>
    </r>
    <r>
      <rPr>
        <sz val="11"/>
        <color rgb="FF000000"/>
        <rFont val="Arial"/>
        <family val="2"/>
      </rPr>
      <t>, with no link to the original Excel file.</t>
    </r>
  </si>
  <si>
    <t>Tips:</t>
  </si>
  <si>
    <t>The colour scheme utilised is derived from the Scottish Government colour palette for categorical data. However, it has been necessary to expand upon that palette in order to meet the requirements of the dataset. The additional colours also meet the 3:1 contrast ratios of the originals. </t>
  </si>
  <si>
    <t>More information can be found online at https://designsystem.gov.scot/guidance/charts/data-visualisation-colour-palettes</t>
  </si>
  <si>
    <t>The number of quarters included in each chart can be adjusted or increased by selecting each data series, and moving the cells (this is a limitation of Excel). We recommend that no more than three years worth of data be featured at a time.</t>
  </si>
  <si>
    <t>Where relevant, the values of the vertical axis will adjust automatically based on the values recorded. Be aware that some charts, by necessity, pull data from helper tables that were added to the workbook for that purpose. </t>
  </si>
  <si>
    <r>
      <rPr>
        <b/>
        <sz val="11"/>
        <color theme="1"/>
        <rFont val="Calibri"/>
        <family val="2"/>
      </rPr>
      <t>Proposed charts for reporting template.</t>
    </r>
    <r>
      <rPr>
        <sz val="11"/>
        <color theme="1"/>
        <rFont val="Calibri"/>
        <family val="2"/>
      </rPr>
      <t xml:space="preserve"> You may wish to use either or both of the below. We suggest this will be presented alongside a list of the top five referers in your area. </t>
    </r>
  </si>
  <si>
    <t>1. Click once on the chart to select it (you'll see handles appear around the edge).</t>
  </si>
  <si>
    <r>
      <t xml:space="preserve">2. Press </t>
    </r>
    <r>
      <rPr>
        <b/>
        <sz val="11"/>
        <color rgb="FF000000"/>
        <rFont val="Arial"/>
        <family val="2"/>
      </rPr>
      <t>Ctrl+C</t>
    </r>
    <r>
      <rPr>
        <sz val="11"/>
        <color rgb="FF000000"/>
        <rFont val="Arial"/>
        <family val="2"/>
      </rPr>
      <t xml:space="preserve"> (Windows) or </t>
    </r>
    <r>
      <rPr>
        <b/>
        <sz val="11"/>
        <color rgb="FF000000"/>
        <rFont val="Arial"/>
        <family val="2"/>
      </rPr>
      <t>Cmd+C</t>
    </r>
    <r>
      <rPr>
        <sz val="11"/>
        <color rgb="FF000000"/>
        <rFont val="Arial"/>
        <family val="2"/>
      </rPr>
      <t xml:space="preserve"> (Mac) to copy it.</t>
    </r>
  </si>
  <si>
    <t>1. Click in the template where you want the chart to appear.</t>
  </si>
  <si>
    <r>
      <t>2. Don't</t>
    </r>
    <r>
      <rPr>
        <sz val="11"/>
        <color rgb="FF000000"/>
        <rFont val="Arial"/>
        <family val="2"/>
      </rPr>
      <t xml:space="preserve"> use Ctrl+V / Cmd+V — that will create a linked object instead.</t>
    </r>
  </si>
  <si>
    <r>
      <t xml:space="preserve">3. On the </t>
    </r>
    <r>
      <rPr>
        <b/>
        <sz val="11"/>
        <color rgb="FF000000"/>
        <rFont val="Arial"/>
        <family val="2"/>
      </rPr>
      <t>Home</t>
    </r>
    <r>
      <rPr>
        <sz val="11"/>
        <color rgb="FF000000"/>
        <rFont val="Arial"/>
        <family val="2"/>
      </rPr>
      <t xml:space="preserve"> tab in the ribbon, click the </t>
    </r>
    <r>
      <rPr>
        <b/>
        <sz val="11"/>
        <color rgb="FF000000"/>
        <rFont val="Arial"/>
        <family val="2"/>
      </rPr>
      <t>dropdown arrow</t>
    </r>
    <r>
      <rPr>
        <sz val="11"/>
        <color rgb="FF000000"/>
        <rFont val="Arial"/>
        <family val="2"/>
      </rPr>
      <t xml:space="preserve"> under the Paste button (the small arrow beneath the clipboard icon).</t>
    </r>
  </si>
  <si>
    <r>
      <t>4. You'll see a row of paste option icons. Hover over each until you see the tooltip "</t>
    </r>
    <r>
      <rPr>
        <b/>
        <sz val="11"/>
        <color rgb="FF000000"/>
        <rFont val="Arial"/>
        <family val="2"/>
      </rPr>
      <t>Picture (U)</t>
    </r>
    <r>
      <rPr>
        <sz val="11"/>
        <color rgb="FF000000"/>
        <rFont val="Arial"/>
        <family val="2"/>
      </rPr>
      <t>".</t>
    </r>
  </si>
  <si>
    <t>5. Click that icon.</t>
  </si>
  <si>
    <r>
      <t xml:space="preserve">1. In the workbook, click </t>
    </r>
    <r>
      <rPr>
        <b/>
        <sz val="11"/>
        <color rgb="FF000000"/>
        <rFont val="Arial"/>
        <family val="2"/>
      </rPr>
      <t xml:space="preserve">File → Save As → </t>
    </r>
    <r>
      <rPr>
        <sz val="11"/>
        <color rgb="FF000000"/>
        <rFont val="Arial"/>
        <family val="2"/>
      </rPr>
      <t>choose a location on your computer.</t>
    </r>
  </si>
  <si>
    <r>
      <t xml:space="preserve">2. In the </t>
    </r>
    <r>
      <rPr>
        <b/>
        <sz val="11"/>
        <color rgb="FF000000"/>
        <rFont val="Arial"/>
        <family val="2"/>
      </rPr>
      <t>Save As</t>
    </r>
    <r>
      <rPr>
        <sz val="11"/>
        <color rgb="FF000000"/>
        <rFont val="Arial"/>
        <family val="2"/>
      </rPr>
      <t xml:space="preserve"> dialogue box, click the </t>
    </r>
    <r>
      <rPr>
        <b/>
        <sz val="11"/>
        <color rgb="FF000000"/>
        <rFont val="Arial"/>
        <family val="2"/>
      </rPr>
      <t>Save as type</t>
    </r>
    <r>
      <rPr>
        <sz val="11"/>
        <color rgb="FF000000"/>
        <rFont val="Arial"/>
        <family val="2"/>
      </rPr>
      <t xml:space="preserve"> dropdown and select </t>
    </r>
    <r>
      <rPr>
        <b/>
        <sz val="11"/>
        <color rgb="FF000000"/>
        <rFont val="Arial"/>
        <family val="2"/>
      </rPr>
      <t>Web Page (*.htm, *.html)</t>
    </r>
    <r>
      <rPr>
        <sz val="11"/>
        <color rgb="FF000000"/>
        <rFont val="Arial"/>
        <family val="2"/>
      </rPr>
      <t>.</t>
    </r>
  </si>
  <si>
    <r>
      <t xml:space="preserve">3. Make sure </t>
    </r>
    <r>
      <rPr>
        <b/>
        <sz val="11"/>
        <color rgb="FF000000"/>
        <rFont val="Arial"/>
        <family val="2"/>
      </rPr>
      <t>Entire Workbook</t>
    </r>
    <r>
      <rPr>
        <sz val="11"/>
        <color rgb="FF000000"/>
        <rFont val="Arial"/>
        <family val="2"/>
      </rPr>
      <t xml:space="preserve"> is selected (not "Selection: Sheet").</t>
    </r>
  </si>
  <si>
    <r>
      <t xml:space="preserve">4. Click </t>
    </r>
    <r>
      <rPr>
        <b/>
        <sz val="11"/>
        <color rgb="FF000000"/>
        <rFont val="Arial"/>
        <family val="2"/>
      </rPr>
      <t>Save</t>
    </r>
    <r>
      <rPr>
        <sz val="11"/>
        <color rgb="FF000000"/>
        <rFont val="Arial"/>
        <family val="2"/>
      </rPr>
      <t xml:space="preserve">. If Excel warns you about features not supported in this format, click </t>
    </r>
    <r>
      <rPr>
        <b/>
        <sz val="11"/>
        <color rgb="FF000000"/>
        <rFont val="Arial"/>
        <family val="2"/>
      </rPr>
      <t>Keep Current Format</t>
    </r>
    <r>
      <rPr>
        <sz val="11"/>
        <color rgb="FF000000"/>
        <rFont val="Arial"/>
        <family val="2"/>
      </rPr>
      <t xml:space="preserve"> (or </t>
    </r>
    <r>
      <rPr>
        <b/>
        <sz val="11"/>
        <color rgb="FF000000"/>
        <rFont val="Arial"/>
        <family val="2"/>
      </rPr>
      <t>Yes</t>
    </r>
    <r>
      <rPr>
        <sz val="11"/>
        <color rgb="FF000000"/>
        <rFont val="Arial"/>
        <family val="2"/>
      </rPr>
      <t xml:space="preserve"> to continue).</t>
    </r>
  </si>
  <si>
    <r>
      <t xml:space="preserve">* The folder also contains other files used by the web page — </t>
    </r>
    <r>
      <rPr>
        <b/>
        <sz val="11"/>
        <color rgb="FF000000"/>
        <rFont val="Arial"/>
        <family val="2"/>
      </rPr>
      <t>you only need the .png files</t>
    </r>
    <r>
      <rPr>
        <sz val="11"/>
        <color rgb="FF000000"/>
        <rFont val="Arial"/>
        <family val="2"/>
      </rPr>
      <t>.</t>
    </r>
  </si>
  <si>
    <t>* The original Excel workbook is unaffected by this process; this creates a separate copy.</t>
  </si>
  <si>
    <t>NOTES ON CHART USAGE (PLEASE READ)</t>
  </si>
  <si>
    <t>Adults at risk invited to attend a case conference (total)</t>
  </si>
  <si>
    <t>Adults at risk invited to attend a case conference (percentage uptake)</t>
  </si>
  <si>
    <t>Number of case conferences where an independent advocate has been invited (total)</t>
  </si>
  <si>
    <t>Uptake of invitations to attend a case conference by independent advocate (percentage)</t>
  </si>
  <si>
    <t>An independent advocate is provided by a professional service, and cannot be provided by a friend or carer.</t>
  </si>
  <si>
    <t>Independent advocate</t>
  </si>
  <si>
    <t>Not disclosed</t>
  </si>
  <si>
    <t>Not known / not disclosed</t>
  </si>
  <si>
    <t>Known non-white ethnicity</t>
  </si>
  <si>
    <t>HELPER TABLES FOR I.14 CHARTS</t>
  </si>
  <si>
    <t xml:space="preserve">Hoarding behaviour </t>
  </si>
  <si>
    <t>Labour exploitation 
This is when a person is forced to work for little or no pay, or has access to their wages controlled or limited by another party. It can involve threats, intimidation and violence in order to force the person to work long hours in poor conditions. The person may also be forced to work without appropriate equipment in potentially dangerous situations. It is also important to recognise that labour exploitation can occur within legitimate business, with wages and/or bank accounts controlled by a perpetrator.
Common industries prone to labour exploitation are car washes, nail bars, construction, seafood/fishing, delivery drivers, and hospitality but it can also occur in private homes including activities such as painting and decorating, window cleaning, gardening and other domestic duties (domestic servitude).
Sexual exploitation 
Sexual exploitation is the sexual abuse of an adult in exchange for attention, affection, food, drugs, shelter, protection, other basic necessities and/or money, and could be part of a seemingly consensual relationship. It involves someone taking advantage of an adult, sexually, for their own benefit and could be carried out by threats, bribes, deceit and violence. It doesn’t have to be physical contact, it can also occur online.
Adults can be sexually exploited in many ways. Examples include: 
- Grooming
- Rape and sexual assault
- Being trafficked into, or around the UK for the purpose of commercial sexual exploitation (e.g. prostitution, lap dancing, stripping, pornography)
- Sextortion, i.e. when a person being forced into paying money or meeting another financial demand after an offender has threatened to release nude or semi-nude photos of the person
Organ harvesting 
Organ harvesting involves the removal of one or more organs from a person by means of coercion, abduction, deception, fraud, or abuse of power.</t>
  </si>
  <si>
    <t>Human trafficking and exploitation are complex and hidden crimes and involve perpetrators treating people as commodities and exploiting them for their personal profit or gain. Victims can sometimes appear to be criminals themselves.
The many purposes for which people are exploited - including commercial sexual exploitation, labour exploitation, criminal exploitation (for example benefit fraud and forced drugs cultivation and cuckooing), domestic servitude or compulsory labour, sham marriages and organ trafficking – are continually evolving. Victims can sometimes appear to be criminals themselves when forced into criminal exploitation.
Human trafficking involves the recruitment, transportation or transfer, harbouring or receiving or exchange or transfer of control of another person for the purposes of exploiting them. It is irrelevant if the victim ‘consented’ to any part of the action, neither does it require the victim to have been moved for this to be considered an offence. People can be trafficked within Scotland and the UK as well as across  international borders.
This might include: 
Criminal Exploitation 
This is when an adult is coerced, controlled or manipulated into involvement in criminal activity for the financial or other advantage of the exploiter. It can involve force, threats or deception, taking advantage of a power imbalance.
These activities can include and combine (and are not an exhaustive list): 
- cuckooing, i.e. taking over the home/property of a vulnerable person in order to establish a base for illegal drug dealing
- county lines drug networks and cannabis cultivation 
- pick pocketing and forced shoplifting 
- financial abuse and benefit fraud
- forced begging and busking</t>
  </si>
  <si>
    <t>Self-neglect (excluding hoarding behaviour)</t>
  </si>
  <si>
    <t>Self neglect (excluding hoarding behaviour)</t>
  </si>
  <si>
    <t>Hoarding Disorder (HD) is mental health condition characterised by excessive acquisition and difficulty discarding due to a perceived need to save items regardless of use or value, with distress and impairment caused by living spaces so severely cluttered that they cannot be used for important daily living functions - such as sleeping, food preparation and washing or bathing. [Poor self-care is sometimes associated with HD, but more often with Diogenes syndrome aka self-neglect than HD.]
Problematic levels of clutter are not always the result of HD, and can be due to chronic disorganisation (CD) and cognitive and emotional differences common to people with trauma, Autism Spectrum Disorder, ADHD, traumatic brain injury or hydrocephalus.  Discomfort with change, sensory sensitivities and difficulties with emotional regulation can make decision-making and the physical process of sorting, cleaning or discarding overwhelming. CD, unlike HD, is not a mental health disorder. 
In ASP practitioners should consider all hoarding behaviour, irrespective of its etiology as representing 'mental infirmity' under the ASPA.  It would be the level of risk that would determine if a person might proceed under ASP- not whether a person would receive a HD diagnosis or not if assessed. Presently, a clinical diagnosis is very rare.</t>
  </si>
  <si>
    <t>Organisations must explain why they need it and how the data will be kept secure. Ethnicity is classified as "special category data" under GDPR, meaning it requires stricter protection</t>
  </si>
  <si>
    <r>
      <rPr>
        <b/>
        <sz val="11"/>
        <color rgb="FF000000"/>
        <rFont val="Calibri"/>
        <family val="2"/>
        <scheme val="minor"/>
      </rPr>
      <t xml:space="preserve">Notes </t>
    </r>
    <r>
      <rPr>
        <sz val="11"/>
        <color rgb="FF000000"/>
        <rFont val="Calibri"/>
        <family val="2"/>
        <scheme val="minor"/>
      </rPr>
      <t xml:space="preserve">
While there is no mandatory legal duty for employers or service providers to ask for an individual's ethnicity, it is highly recommended as best practice to meet equality goals and to monitor structural inequalities, discrimination and fair access to services</t>
    </r>
  </si>
  <si>
    <t>While there is no mandatory legal duty for employers or service providers to ask for an individual's ethnicity, and people have the right to refuse to answer,  collecting this data helps comply with the Equality Act 2010 by identifying disparities, structural inequalities and fair access to services, particularly for public bodies under the Public Sector Equality Duty. </t>
  </si>
  <si>
    <t>ADULTS AT RISK INVITED TO ATTEND A CASE CONFERENCE (TOTAL)</t>
  </si>
  <si>
    <t>ADULTS AT RISK INVITED TO ATTEND A CASE CONFERENCE (PERCENTAGE UPTAKE)</t>
  </si>
  <si>
    <t>Indicators 6a &amp; 6b</t>
  </si>
  <si>
    <r>
      <t xml:space="preserve">The percentage of those invited to attend a case conference who took up the offer. </t>
    </r>
    <r>
      <rPr>
        <b/>
        <sz val="10"/>
        <color theme="1"/>
        <rFont val="Verdana"/>
        <family val="2"/>
      </rPr>
      <t xml:space="preserve">Please DO NOT add percentage symbol (%) </t>
    </r>
    <r>
      <rPr>
        <sz val="10"/>
        <color theme="1"/>
        <rFont val="Verdana"/>
        <family val="2"/>
      </rPr>
      <t xml:space="preserve">after the value — it should be inserted automatically.
</t>
    </r>
  </si>
  <si>
    <t>If more than one independent advocate was ever invited to attend on behalf of the adult at risk, this should be recorded as a single count.</t>
  </si>
  <si>
    <r>
      <t xml:space="preserve">Indicates that were are meeting our duty to consider advocacy  after the decision has been made to intervene, contributing to the views of the adult being taken into account.
</t>
    </r>
    <r>
      <rPr>
        <b/>
        <sz val="10"/>
        <color theme="1"/>
        <rFont val="Verdana"/>
        <family val="2"/>
      </rPr>
      <t>Further notes</t>
    </r>
    <r>
      <rPr>
        <sz val="10"/>
        <color theme="1"/>
        <rFont val="Verdana"/>
        <family val="2"/>
      </rPr>
      <t xml:space="preserve">
Under the ASPA (2007), there is a duty to consider the provision of advocacy and other services after a decision has been made to intervene (S6). 
This is for an independent advocate to support the adult at risk to ‘participate as fully as possible’ in understanding, assessing and managing risk and to ensure that the adult’s views and wishes are central. Supported decision-making processes and principles should be considered.
This is connected to the duty to balance the need for intervention with the adult’s wishes and right to live as independently as possible, and ensuing actions to ensure that they are safe, protected, supported, involved and consulted.
There is not an absolute right to independent advocacy in all cases, as the practitioner has to consider whether or not it is helpful to the adult. However, in cases where the adult has a diagnosed mental health condition, independent advocacy must be offered.
Where advocacy is offered, but declined by the adult or not deemed appropriate, it is good practice that the reasons for this should be clearly recorded, as should the reasons for not referring to any other ‘appropriate’ services. This decision should be re-visited and recorded at each formal review e.g. multi-agency meetings, reviews or professional meetings.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</si>
</sst>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quot;"/>
  </numFmts>
  <fonts count="40" x14ac:knownFonts="1">
    <font>
      <sz val="11"/>
      <color theme="1"/>
      <name val="Calibri"/>
      <scheme val="minor"/>
    </font>
    <font>
      <sz val="12"/>
      <color theme="1"/>
      <name val="Calibri"/>
      <family val="2"/>
      <scheme val="minor"/>
    </font>
    <font>
      <sz val="11"/>
      <name val="Calibri"/>
      <family val="2"/>
    </font>
    <font>
      <sz val="12"/>
      <color theme="1"/>
      <name val="Calibri"/>
      <family val="2"/>
    </font>
    <font>
      <sz val="11"/>
      <color theme="1"/>
      <name val="Calibri"/>
      <family val="2"/>
    </font>
    <font>
      <b/>
      <sz val="14"/>
      <color theme="0"/>
      <name val="Calibri"/>
      <family val="2"/>
    </font>
    <font>
      <i/>
      <sz val="12"/>
      <color rgb="FF7F6000"/>
      <name val="Calibri"/>
      <family val="2"/>
    </font>
    <font>
      <sz val="13"/>
      <color theme="1"/>
      <name val="Verdana"/>
      <family val="2"/>
    </font>
    <font>
      <sz val="13"/>
      <color rgb="FF7F6000"/>
      <name val="Verdana"/>
      <family val="2"/>
    </font>
    <font>
      <i/>
      <sz val="12"/>
      <color rgb="FF7F6000"/>
      <name val="Verdana"/>
      <family val="2"/>
    </font>
    <font>
      <sz val="12"/>
      <color theme="0"/>
      <name val="Calibri"/>
      <family val="2"/>
    </font>
    <font>
      <sz val="14"/>
      <color theme="0"/>
      <name val="Calibri"/>
      <family val="2"/>
    </font>
    <font>
      <b/>
      <sz val="16"/>
      <color theme="0"/>
      <name val="Calibri"/>
      <family val="2"/>
    </font>
    <font>
      <b/>
      <sz val="14"/>
      <color theme="1"/>
      <name val="Calibri"/>
      <family val="2"/>
    </font>
    <font>
      <sz val="14"/>
      <color theme="1"/>
      <name val="Calibri"/>
      <family val="2"/>
    </font>
    <font>
      <b/>
      <sz val="11"/>
      <color rgb="FF2E75B5"/>
      <name val="Calibri"/>
      <family val="2"/>
    </font>
    <font>
      <b/>
      <sz val="9"/>
      <color theme="1"/>
      <name val="Calibri"/>
      <family val="2"/>
    </font>
    <font>
      <b/>
      <sz val="11"/>
      <color theme="1"/>
      <name val="Calibri"/>
      <family val="2"/>
    </font>
    <font>
      <sz val="10"/>
      <color theme="1"/>
      <name val="Verdana"/>
      <family val="2"/>
    </font>
    <font>
      <b/>
      <sz val="12"/>
      <color theme="1"/>
      <name val="Calibri"/>
      <family val="2"/>
    </font>
    <font>
      <sz val="10"/>
      <color rgb="FF000000"/>
      <name val="Verdana"/>
      <family val="2"/>
    </font>
    <font>
      <sz val="14"/>
      <color theme="1"/>
      <name val="Source Sans Pro"/>
    </font>
    <font>
      <b/>
      <sz val="10"/>
      <color theme="1"/>
      <name val="Verdana"/>
      <family val="2"/>
    </font>
    <font>
      <sz val="11"/>
      <color rgb="FF000000"/>
      <name val="Calibri"/>
      <family val="2"/>
    </font>
    <font>
      <sz val="13"/>
      <color rgb="FF000000"/>
      <name val="Courier New"/>
      <family val="1"/>
    </font>
    <font>
      <sz val="10"/>
      <color rgb="FF7F7F7F"/>
      <name val="Verdana"/>
      <family val="2"/>
    </font>
    <font>
      <u/>
      <sz val="10"/>
      <color theme="1"/>
      <name val="Verdana"/>
      <family val="2"/>
    </font>
    <font>
      <b/>
      <sz val="16"/>
      <color rgb="FFFFFFFF"/>
      <name val="Calibri"/>
      <family val="2"/>
    </font>
    <font>
      <b/>
      <sz val="16"/>
      <color rgb="FF7F6000"/>
      <name val="Calibri (Body)"/>
    </font>
    <font>
      <b/>
      <i/>
      <sz val="10"/>
      <color theme="1"/>
      <name val="Verdana"/>
      <family val="2"/>
    </font>
    <font>
      <u/>
      <sz val="10"/>
      <color rgb="FF1155CC"/>
      <name val="Verdana"/>
      <family val="2"/>
    </font>
    <font>
      <sz val="8"/>
      <name val="Calibri"/>
      <family val="2"/>
      <scheme val="minor"/>
    </font>
    <font>
      <sz val="11"/>
      <color theme="1"/>
      <name val="Calibri"/>
      <family val="2"/>
      <scheme val="minor"/>
    </font>
    <font>
      <sz val="11"/>
      <color theme="0"/>
      <name val="Calibri"/>
      <family val="2"/>
    </font>
    <font>
      <u/>
      <sz val="11"/>
      <color theme="10"/>
      <name val="Calibri"/>
      <family val="2"/>
      <scheme val="minor"/>
    </font>
    <font>
      <sz val="11"/>
      <color rgb="FF000000"/>
      <name val="Arial"/>
      <family val="2"/>
    </font>
    <font>
      <b/>
      <sz val="11"/>
      <color rgb="FF000000"/>
      <name val="Arial"/>
      <family val="2"/>
    </font>
    <font>
      <i/>
      <sz val="11"/>
      <color rgb="FF000000"/>
      <name val="Arial"/>
      <family val="2"/>
    </font>
    <font>
      <sz val="11"/>
      <color rgb="FF000000"/>
      <name val="Calibri"/>
      <family val="2"/>
      <scheme val="minor"/>
    </font>
    <font>
      <b/>
      <sz val="11"/>
      <color rgb="FF000000"/>
      <name val="Calibri"/>
      <family val="2"/>
      <scheme val="minor"/>
    </font>
  </fonts>
  <fills count="16">
    <fill>
      <patternFill patternType="none"/>
    </fill>
    <fill>
      <patternFill patternType="gray125"/>
    </fill>
    <fill>
      <patternFill patternType="solid">
        <fgColor rgb="FF7030A0"/>
        <bgColor rgb="FF7030A0"/>
      </patternFill>
    </fill>
    <fill>
      <patternFill patternType="solid">
        <fgColor rgb="FF0C0C0C"/>
        <bgColor rgb="FF0C0C0C"/>
      </patternFill>
    </fill>
    <fill>
      <patternFill patternType="solid">
        <fgColor rgb="FFFEF2CB"/>
        <bgColor rgb="FFFEF2CB"/>
      </patternFill>
    </fill>
    <fill>
      <patternFill patternType="solid">
        <fgColor theme="0"/>
        <bgColor theme="0"/>
      </patternFill>
    </fill>
    <fill>
      <patternFill patternType="solid">
        <fgColor theme="8"/>
        <bgColor theme="8"/>
      </patternFill>
    </fill>
    <fill>
      <patternFill patternType="solid">
        <fgColor rgb="FFBDD6EE"/>
        <bgColor rgb="FFBDD6EE"/>
      </patternFill>
    </fill>
    <fill>
      <patternFill patternType="solid">
        <fgColor rgb="FFDEEAF6"/>
        <bgColor rgb="FFDEEAF6"/>
      </patternFill>
    </fill>
    <fill>
      <patternFill patternType="solid">
        <fgColor theme="7"/>
        <bgColor theme="7"/>
      </patternFill>
    </fill>
    <fill>
      <patternFill patternType="solid">
        <fgColor rgb="FFF2F2F2"/>
        <bgColor rgb="FFF2F2F2"/>
      </patternFill>
    </fill>
    <fill>
      <patternFill patternType="solid">
        <fgColor rgb="FFD8D8D8"/>
        <bgColor rgb="FFD8D8D8"/>
      </patternFill>
    </fill>
    <fill>
      <patternFill patternType="solid">
        <fgColor rgb="FFFFE598"/>
        <bgColor rgb="FFFFE598"/>
      </patternFill>
    </fill>
    <fill>
      <patternFill patternType="solid">
        <fgColor theme="4" tint="0.79998168889431442"/>
        <bgColor indexed="65"/>
      </patternFill>
    </fill>
    <fill>
      <patternFill patternType="solid">
        <fgColor theme="7" tint="0.79998168889431442"/>
        <bgColor indexed="65"/>
      </patternFill>
    </fill>
    <fill>
      <patternFill patternType="solid">
        <fgColor theme="0" tint="-4.9989318521683403E-2"/>
        <bgColor indexed="64"/>
      </patternFill>
    </fill>
  </fills>
  <borders count="25">
    <border>
      <left/>
      <right/>
      <top/>
      <bottom/>
      <diagonal/>
    </border>
    <border>
      <left/>
      <right/>
      <top/>
      <bottom/>
      <diagonal/>
    </border>
    <border>
      <left/>
      <right/>
      <top/>
      <bottom/>
      <diagonal/>
    </border>
    <border>
      <left/>
      <right/>
      <top/>
      <bottom/>
      <diagonal/>
    </border>
    <border>
      <left/>
      <right/>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theme="0"/>
      </top>
      <bottom/>
      <diagonal/>
    </border>
    <border>
      <left/>
      <right/>
      <top/>
      <bottom style="thin">
        <color theme="0"/>
      </bottom>
      <diagonal/>
    </border>
    <border>
      <left style="thin">
        <color rgb="FF7F7F7F"/>
      </left>
      <right style="thin">
        <color rgb="FF7F7F7F"/>
      </right>
      <top style="thin">
        <color rgb="FF7F7F7F"/>
      </top>
      <bottom style="thin">
        <color rgb="FF7F7F7F"/>
      </bottom>
      <diagonal/>
    </border>
    <border>
      <left style="thin">
        <color theme="0"/>
      </left>
      <right/>
      <top style="thin">
        <color theme="0"/>
      </top>
      <bottom/>
      <diagonal/>
    </border>
    <border>
      <left/>
      <right style="thin">
        <color theme="0"/>
      </right>
      <top style="thin">
        <color theme="0"/>
      </top>
      <bottom/>
      <diagonal/>
    </border>
    <border>
      <left/>
      <right/>
      <top style="thin">
        <color theme="0"/>
      </top>
      <bottom style="thin">
        <color theme="0"/>
      </bottom>
      <diagonal/>
    </border>
    <border>
      <left/>
      <right/>
      <top/>
      <bottom style="double">
        <color theme="4"/>
      </bottom>
      <diagonal/>
    </border>
    <border>
      <left/>
      <right/>
      <top style="thin">
        <color rgb="FFBFBFBF"/>
      </top>
      <bottom/>
      <diagonal/>
    </border>
    <border>
      <left/>
      <right/>
      <top style="thin">
        <color theme="4"/>
      </top>
      <bottom style="double">
        <color theme="4"/>
      </bottom>
      <diagonal/>
    </border>
    <border>
      <left style="thin">
        <color theme="0"/>
      </left>
      <right/>
      <top/>
      <bottom/>
      <diagonal/>
    </border>
    <border>
      <left/>
      <right style="thin">
        <color theme="0"/>
      </right>
      <top/>
      <bottom/>
      <diagonal/>
    </border>
    <border>
      <left/>
      <right/>
      <top/>
      <bottom style="thin">
        <color rgb="FF000000"/>
      </bottom>
      <diagonal/>
    </border>
    <border>
      <left style="thin">
        <color rgb="FF7F7F7F"/>
      </left>
      <right style="thin">
        <color rgb="FF7F7F7F"/>
      </right>
      <top/>
      <bottom style="thin">
        <color rgb="FF7F7F7F"/>
      </bottom>
      <diagonal/>
    </border>
    <border>
      <left/>
      <right/>
      <top/>
      <bottom/>
      <diagonal/>
    </border>
  </borders>
  <cellStyleXfs count="5">
    <xf numFmtId="0" fontId="0" fillId="0" borderId="0"/>
    <xf numFmtId="9" fontId="32" fillId="0" borderId="0" applyFont="0" applyFill="0" applyBorder="0" applyAlignment="0" applyProtection="0"/>
    <xf numFmtId="0" fontId="1" fillId="13" borderId="0" applyNumberFormat="0" applyBorder="0" applyAlignment="0" applyProtection="0"/>
    <xf numFmtId="0" fontId="1" fillId="14" borderId="0" applyNumberFormat="0" applyBorder="0" applyAlignment="0" applyProtection="0"/>
    <xf numFmtId="0" fontId="34" fillId="0" borderId="0" applyNumberFormat="0" applyFill="0" applyBorder="0" applyAlignment="0" applyProtection="0"/>
  </cellStyleXfs>
  <cellXfs count="110">
    <xf numFmtId="0" fontId="0" fillId="0" borderId="0" xfId="0"/>
    <xf numFmtId="0" fontId="3" fillId="0" borderId="0" xfId="0" applyFont="1" applyAlignment="1">
      <alignment horizontal="left" vertical="center"/>
    </xf>
    <xf numFmtId="0" fontId="4" fillId="0" borderId="0" xfId="0" applyFont="1" applyAlignment="1">
      <alignment horizontal="left" vertical="center"/>
    </xf>
    <xf numFmtId="0" fontId="4" fillId="0" borderId="0" xfId="0" applyFont="1"/>
    <xf numFmtId="0" fontId="6" fillId="4" borderId="4" xfId="0" applyFont="1" applyFill="1" applyBorder="1" applyAlignment="1">
      <alignment vertical="top" wrapText="1"/>
    </xf>
    <xf numFmtId="0" fontId="6" fillId="4" borderId="4" xfId="0" applyFont="1" applyFill="1" applyBorder="1" applyAlignment="1">
      <alignment vertical="center" wrapText="1"/>
    </xf>
    <xf numFmtId="0" fontId="4" fillId="4" borderId="4" xfId="0" applyFont="1" applyFill="1" applyBorder="1"/>
    <xf numFmtId="0" fontId="3" fillId="0" borderId="11" xfId="0" applyFont="1" applyBorder="1" applyAlignment="1">
      <alignment horizontal="left" vertical="center"/>
    </xf>
    <xf numFmtId="0" fontId="10" fillId="6" borderId="4" xfId="0" applyFont="1" applyFill="1" applyBorder="1" applyAlignment="1">
      <alignment horizontal="left" vertical="center"/>
    </xf>
    <xf numFmtId="0" fontId="3" fillId="0" borderId="0" xfId="0" applyFont="1"/>
    <xf numFmtId="0" fontId="11" fillId="6" borderId="12" xfId="0" applyFont="1" applyFill="1" applyBorder="1" applyAlignment="1">
      <alignment horizontal="left" vertical="center"/>
    </xf>
    <xf numFmtId="0" fontId="12" fillId="6" borderId="12" xfId="0" applyFont="1" applyFill="1" applyBorder="1" applyAlignment="1">
      <alignment horizontal="left" vertical="center"/>
    </xf>
    <xf numFmtId="0" fontId="13" fillId="0" borderId="0" xfId="0" applyFont="1" applyAlignment="1">
      <alignment vertical="top"/>
    </xf>
    <xf numFmtId="0" fontId="13" fillId="0" borderId="0" xfId="0" applyFont="1" applyAlignment="1">
      <alignment wrapText="1"/>
    </xf>
    <xf numFmtId="0" fontId="14" fillId="0" borderId="0" xfId="0" applyFont="1" applyAlignment="1">
      <alignment wrapText="1"/>
    </xf>
    <xf numFmtId="0" fontId="5" fillId="3" borderId="4" xfId="0" applyFont="1" applyFill="1" applyBorder="1" applyAlignment="1">
      <alignment vertical="center"/>
    </xf>
    <xf numFmtId="0" fontId="15" fillId="7" borderId="4" xfId="0" applyFont="1" applyFill="1" applyBorder="1" applyAlignment="1">
      <alignment vertical="top" wrapText="1"/>
    </xf>
    <xf numFmtId="0" fontId="16" fillId="8" borderId="4" xfId="0" applyFont="1" applyFill="1" applyBorder="1" applyAlignment="1">
      <alignment horizontal="center" vertical="top" wrapText="1"/>
    </xf>
    <xf numFmtId="0" fontId="17" fillId="8" borderId="4" xfId="0" applyFont="1" applyFill="1" applyBorder="1" applyAlignment="1">
      <alignment vertical="top" wrapText="1"/>
    </xf>
    <xf numFmtId="1" fontId="18" fillId="5" borderId="13" xfId="0" applyNumberFormat="1" applyFont="1" applyFill="1" applyBorder="1"/>
    <xf numFmtId="0" fontId="4" fillId="0" borderId="14" xfId="0" applyFont="1" applyBorder="1"/>
    <xf numFmtId="0" fontId="4" fillId="0" borderId="15" xfId="0" applyFont="1" applyBorder="1"/>
    <xf numFmtId="0" fontId="17" fillId="9" borderId="16" xfId="0" applyFont="1" applyFill="1" applyBorder="1" applyAlignment="1">
      <alignment horizontal="left" vertical="center"/>
    </xf>
    <xf numFmtId="1" fontId="19" fillId="0" borderId="17" xfId="0" applyNumberFormat="1" applyFont="1" applyBorder="1" applyAlignment="1">
      <alignment vertical="center" wrapText="1"/>
    </xf>
    <xf numFmtId="0" fontId="17" fillId="0" borderId="0" xfId="0" applyFont="1" applyAlignment="1">
      <alignment vertical="top" wrapText="1"/>
    </xf>
    <xf numFmtId="0" fontId="4" fillId="0" borderId="0" xfId="0" applyFont="1" applyAlignment="1">
      <alignment vertical="center"/>
    </xf>
    <xf numFmtId="0" fontId="6" fillId="4" borderId="4" xfId="0" applyFont="1" applyFill="1" applyBorder="1" applyAlignment="1">
      <alignment vertical="top"/>
    </xf>
    <xf numFmtId="0" fontId="17" fillId="7" borderId="4" xfId="0" applyFont="1" applyFill="1" applyBorder="1" applyAlignment="1">
      <alignment vertical="top" wrapText="1"/>
    </xf>
    <xf numFmtId="1" fontId="18" fillId="5" borderId="5" xfId="0" applyNumberFormat="1" applyFont="1" applyFill="1" applyBorder="1" applyAlignment="1">
      <alignment vertical="top" wrapText="1"/>
    </xf>
    <xf numFmtId="0" fontId="17" fillId="0" borderId="18" xfId="0" applyFont="1" applyBorder="1" applyAlignment="1">
      <alignment vertical="top" wrapText="1"/>
    </xf>
    <xf numFmtId="0" fontId="4" fillId="0" borderId="11" xfId="0" applyFont="1" applyBorder="1"/>
    <xf numFmtId="0" fontId="17" fillId="10" borderId="4" xfId="0" applyFont="1" applyFill="1" applyBorder="1" applyAlignment="1">
      <alignment vertical="top" wrapText="1"/>
    </xf>
    <xf numFmtId="0" fontId="18" fillId="0" borderId="0" xfId="0" applyFont="1" applyAlignment="1">
      <alignment vertical="top" wrapText="1"/>
    </xf>
    <xf numFmtId="0" fontId="17" fillId="11" borderId="4" xfId="0" applyFont="1" applyFill="1" applyBorder="1" applyAlignment="1">
      <alignment vertical="top"/>
    </xf>
    <xf numFmtId="0" fontId="21" fillId="0" borderId="0" xfId="0" applyFont="1" applyAlignment="1">
      <alignment vertical="center"/>
    </xf>
    <xf numFmtId="0" fontId="22" fillId="0" borderId="0" xfId="0" applyFont="1" applyAlignment="1">
      <alignment vertical="top"/>
    </xf>
    <xf numFmtId="0" fontId="4" fillId="0" borderId="0" xfId="0" applyFont="1" applyAlignment="1">
      <alignment wrapText="1"/>
    </xf>
    <xf numFmtId="0" fontId="17" fillId="10" borderId="4" xfId="0" applyFont="1" applyFill="1" applyBorder="1" applyAlignment="1">
      <alignment vertical="top"/>
    </xf>
    <xf numFmtId="0" fontId="17" fillId="10" borderId="4" xfId="0" applyFont="1" applyFill="1" applyBorder="1"/>
    <xf numFmtId="0" fontId="24" fillId="0" borderId="0" xfId="0" applyFont="1"/>
    <xf numFmtId="1" fontId="19" fillId="0" borderId="17" xfId="0" applyNumberFormat="1" applyFont="1" applyBorder="1" applyAlignment="1">
      <alignment wrapText="1"/>
    </xf>
    <xf numFmtId="0" fontId="17" fillId="11" borderId="4" xfId="0" applyFont="1" applyFill="1" applyBorder="1" applyAlignment="1">
      <alignment vertical="top" wrapText="1"/>
    </xf>
    <xf numFmtId="0" fontId="18" fillId="0" borderId="0" xfId="0" applyFont="1" applyAlignment="1">
      <alignment vertical="top"/>
    </xf>
    <xf numFmtId="1" fontId="19" fillId="0" borderId="19" xfId="0" applyNumberFormat="1" applyFont="1" applyBorder="1"/>
    <xf numFmtId="0" fontId="5" fillId="0" borderId="0" xfId="0" applyFont="1" applyAlignment="1">
      <alignment vertical="center"/>
    </xf>
    <xf numFmtId="0" fontId="16" fillId="8" borderId="20" xfId="0" applyFont="1" applyFill="1" applyBorder="1" applyAlignment="1">
      <alignment horizontal="left" vertical="center"/>
    </xf>
    <xf numFmtId="0" fontId="16" fillId="8" borderId="4" xfId="0" applyFont="1" applyFill="1" applyBorder="1" applyAlignment="1">
      <alignment horizontal="left" vertical="center"/>
    </xf>
    <xf numFmtId="0" fontId="16" fillId="8" borderId="21" xfId="0" applyFont="1" applyFill="1" applyBorder="1" applyAlignment="1">
      <alignment horizontal="left" vertical="center"/>
    </xf>
    <xf numFmtId="0" fontId="16" fillId="7" borderId="4" xfId="0" applyFont="1" applyFill="1" applyBorder="1" applyAlignment="1">
      <alignment horizontal="center" vertical="top" wrapText="1"/>
    </xf>
    <xf numFmtId="0" fontId="16" fillId="9" borderId="22" xfId="0" applyFont="1" applyFill="1" applyBorder="1" applyAlignment="1">
      <alignment horizontal="center" vertical="top" wrapText="1"/>
    </xf>
    <xf numFmtId="0" fontId="17" fillId="8" borderId="4" xfId="0" applyFont="1" applyFill="1" applyBorder="1" applyAlignment="1">
      <alignment horizontal="right" vertical="top" wrapText="1"/>
    </xf>
    <xf numFmtId="1" fontId="25" fillId="12" borderId="23" xfId="0" applyNumberFormat="1" applyFont="1" applyFill="1" applyBorder="1"/>
    <xf numFmtId="0" fontId="17" fillId="9" borderId="16" xfId="0" applyFont="1" applyFill="1" applyBorder="1" applyAlignment="1">
      <alignment horizontal="right" vertical="center"/>
    </xf>
    <xf numFmtId="1" fontId="19" fillId="0" borderId="19" xfId="0" applyNumberFormat="1" applyFont="1" applyBorder="1" applyAlignment="1">
      <alignment horizontal="right"/>
    </xf>
    <xf numFmtId="1" fontId="19" fillId="0" borderId="19" xfId="0" applyNumberFormat="1" applyFont="1" applyBorder="1" applyAlignment="1">
      <alignment wrapText="1"/>
    </xf>
    <xf numFmtId="0" fontId="27" fillId="6" borderId="12" xfId="0" applyFont="1" applyFill="1" applyBorder="1" applyAlignment="1">
      <alignment horizontal="left" vertical="center"/>
    </xf>
    <xf numFmtId="0" fontId="2" fillId="0" borderId="6" xfId="0" applyFont="1" applyBorder="1"/>
    <xf numFmtId="0" fontId="2" fillId="0" borderId="7" xfId="0" applyFont="1" applyBorder="1"/>
    <xf numFmtId="0" fontId="16" fillId="8" borderId="4" xfId="0" applyFont="1" applyFill="1" applyBorder="1" applyAlignment="1">
      <alignment horizontal="center" vertical="top"/>
    </xf>
    <xf numFmtId="1" fontId="19" fillId="0" borderId="17" xfId="0" applyNumberFormat="1" applyFont="1" applyBorder="1"/>
    <xf numFmtId="0" fontId="17" fillId="0" borderId="24" xfId="0" applyFont="1" applyBorder="1" applyAlignment="1">
      <alignment vertical="top" wrapText="1"/>
    </xf>
    <xf numFmtId="0" fontId="17" fillId="8" borderId="24" xfId="0" applyFont="1" applyFill="1" applyBorder="1" applyAlignment="1">
      <alignment vertical="top" wrapText="1"/>
    </xf>
    <xf numFmtId="0" fontId="0" fillId="0" borderId="24" xfId="0" applyBorder="1"/>
    <xf numFmtId="1" fontId="4" fillId="0" borderId="0" xfId="0" applyNumberFormat="1" applyFont="1"/>
    <xf numFmtId="164" fontId="18" fillId="5" borderId="13" xfId="1" applyNumberFormat="1" applyFont="1" applyFill="1" applyBorder="1"/>
    <xf numFmtId="164" fontId="18" fillId="5" borderId="13" xfId="0" applyNumberFormat="1" applyFont="1" applyFill="1" applyBorder="1"/>
    <xf numFmtId="1" fontId="1" fillId="13" borderId="13" xfId="2" applyNumberFormat="1" applyBorder="1"/>
    <xf numFmtId="1" fontId="1" fillId="13" borderId="17" xfId="2" applyNumberFormat="1" applyBorder="1" applyAlignment="1">
      <alignment vertical="center" wrapText="1"/>
    </xf>
    <xf numFmtId="0" fontId="1" fillId="14" borderId="0" xfId="3" applyAlignment="1">
      <alignment horizontal="left" vertical="center"/>
    </xf>
    <xf numFmtId="0" fontId="17" fillId="9" borderId="16" xfId="0" applyFont="1" applyFill="1" applyBorder="1" applyAlignment="1">
      <alignment horizontal="left" vertical="center" wrapText="1"/>
    </xf>
    <xf numFmtId="0" fontId="26" fillId="0" borderId="0" xfId="0" applyFont="1" applyAlignment="1">
      <alignment vertical="top"/>
    </xf>
    <xf numFmtId="0" fontId="3" fillId="0" borderId="24" xfId="0" applyFont="1" applyBorder="1" applyAlignment="1">
      <alignment horizontal="left" vertical="center"/>
    </xf>
    <xf numFmtId="0" fontId="32" fillId="0" borderId="0" xfId="0" applyFont="1"/>
    <xf numFmtId="0" fontId="35" fillId="0" borderId="0" xfId="0" applyFont="1"/>
    <xf numFmtId="0" fontId="34" fillId="0" borderId="0" xfId="4"/>
    <xf numFmtId="0" fontId="36" fillId="0" borderId="0" xfId="0" applyFont="1"/>
    <xf numFmtId="0" fontId="17" fillId="11" borderId="24" xfId="0" applyFont="1" applyFill="1" applyBorder="1" applyAlignment="1">
      <alignment vertical="top" wrapText="1"/>
    </xf>
    <xf numFmtId="0" fontId="38" fillId="0" borderId="0" xfId="0" applyFont="1" applyAlignment="1">
      <alignment vertical="center"/>
    </xf>
    <xf numFmtId="0" fontId="38" fillId="0" borderId="0" xfId="0" applyFont="1"/>
    <xf numFmtId="0" fontId="38" fillId="0" borderId="0" xfId="0" applyFont="1" applyAlignment="1">
      <alignment vertical="center" wrapText="1"/>
    </xf>
    <xf numFmtId="0" fontId="4" fillId="15" borderId="0" xfId="0" applyFont="1" applyFill="1"/>
    <xf numFmtId="0" fontId="17" fillId="15" borderId="0" xfId="0" applyFont="1" applyFill="1" applyAlignment="1">
      <alignment vertical="top" wrapText="1"/>
    </xf>
    <xf numFmtId="0" fontId="18" fillId="0" borderId="0" xfId="0" applyFont="1" applyAlignment="1">
      <alignment vertical="top" wrapText="1"/>
    </xf>
    <xf numFmtId="0" fontId="0" fillId="0" borderId="0" xfId="0"/>
    <xf numFmtId="0" fontId="18" fillId="0" borderId="0" xfId="0" applyFont="1" applyAlignment="1">
      <alignment horizontal="left" vertical="top" wrapText="1"/>
    </xf>
    <xf numFmtId="1" fontId="18" fillId="5" borderId="5" xfId="0" applyNumberFormat="1" applyFont="1" applyFill="1" applyBorder="1" applyAlignment="1">
      <alignment vertical="top" wrapText="1"/>
    </xf>
    <xf numFmtId="0" fontId="2" fillId="0" borderId="6" xfId="0" applyFont="1" applyBorder="1"/>
    <xf numFmtId="0" fontId="2" fillId="0" borderId="7" xfId="0" applyFont="1" applyBorder="1"/>
    <xf numFmtId="0" fontId="6" fillId="4" borderId="1" xfId="0" applyFont="1" applyFill="1" applyBorder="1" applyAlignment="1">
      <alignment horizontal="left" vertical="center" wrapText="1"/>
    </xf>
    <xf numFmtId="0" fontId="2" fillId="0" borderId="2" xfId="0" applyFont="1" applyBorder="1"/>
    <xf numFmtId="0" fontId="2" fillId="0" borderId="3" xfId="0" applyFont="1" applyBorder="1"/>
    <xf numFmtId="0" fontId="5" fillId="3" borderId="1" xfId="0" applyFont="1" applyFill="1" applyBorder="1" applyAlignment="1">
      <alignment vertical="center"/>
    </xf>
    <xf numFmtId="0" fontId="12" fillId="2" borderId="1" xfId="0" applyFont="1" applyFill="1" applyBorder="1" applyAlignment="1">
      <alignment horizontal="left" vertical="center"/>
    </xf>
    <xf numFmtId="0" fontId="33" fillId="0" borderId="2" xfId="0" applyFont="1" applyBorder="1"/>
    <xf numFmtId="0" fontId="33" fillId="0" borderId="3" xfId="0" applyFont="1" applyBorder="1"/>
    <xf numFmtId="1" fontId="7" fillId="5" borderId="5" xfId="0" applyNumberFormat="1" applyFont="1" applyFill="1" applyBorder="1" applyAlignment="1">
      <alignment vertical="center"/>
    </xf>
    <xf numFmtId="0" fontId="6" fillId="4" borderId="1" xfId="0" applyFont="1" applyFill="1" applyBorder="1" applyAlignment="1">
      <alignment vertical="center" wrapText="1"/>
    </xf>
    <xf numFmtId="0" fontId="9" fillId="0" borderId="8" xfId="0" applyFont="1" applyBorder="1" applyAlignment="1">
      <alignment horizontal="center" vertical="center" wrapText="1"/>
    </xf>
    <xf numFmtId="0" fontId="2" fillId="0" borderId="10" xfId="0" applyFont="1" applyBorder="1"/>
    <xf numFmtId="0" fontId="2" fillId="0" borderId="9" xfId="0" applyFont="1" applyBorder="1"/>
    <xf numFmtId="0" fontId="8" fillId="0" borderId="8" xfId="0" applyFont="1" applyBorder="1" applyAlignment="1">
      <alignment horizontal="center" vertical="center" wrapText="1"/>
    </xf>
    <xf numFmtId="0" fontId="23" fillId="0" borderId="8" xfId="0" applyFont="1" applyBorder="1" applyAlignment="1">
      <alignment vertical="top" wrapText="1"/>
    </xf>
    <xf numFmtId="0" fontId="20" fillId="0" borderId="0" xfId="0" applyFont="1" applyAlignment="1">
      <alignment vertical="top" wrapText="1"/>
    </xf>
    <xf numFmtId="0" fontId="18" fillId="0" borderId="8" xfId="0" applyFont="1" applyBorder="1" applyAlignment="1">
      <alignment vertical="top" wrapText="1"/>
    </xf>
    <xf numFmtId="0" fontId="23" fillId="0" borderId="8" xfId="0" applyFont="1" applyBorder="1" applyAlignment="1">
      <alignment horizontal="center" vertical="top" wrapText="1"/>
    </xf>
    <xf numFmtId="0" fontId="17" fillId="10" borderId="8" xfId="0" applyFont="1" applyFill="1" applyBorder="1" applyAlignment="1">
      <alignment horizontal="left" vertical="top" wrapText="1"/>
    </xf>
    <xf numFmtId="0" fontId="17" fillId="10" borderId="8" xfId="0" applyFont="1" applyFill="1" applyBorder="1" applyAlignment="1">
      <alignment vertical="top" wrapText="1"/>
    </xf>
    <xf numFmtId="0" fontId="4" fillId="0" borderId="0" xfId="0" applyFont="1" applyAlignment="1">
      <alignment horizontal="left" vertical="center" wrapText="1"/>
    </xf>
    <xf numFmtId="0" fontId="26" fillId="0" borderId="0" xfId="0" applyFont="1" applyAlignment="1">
      <alignment vertical="top" wrapText="1"/>
    </xf>
    <xf numFmtId="0" fontId="4" fillId="0" borderId="0" xfId="0" applyFont="1" applyAlignment="1">
      <alignment horizontal="center" vertical="center" wrapText="1"/>
    </xf>
  </cellXfs>
  <cellStyles count="5">
    <cellStyle name="20% - Accent1" xfId="2" builtinId="30"/>
    <cellStyle name="20% - Accent4" xfId="3" builtinId="42"/>
    <cellStyle name="Hyperlink" xfId="4" builtinId="8"/>
    <cellStyle name="Normal" xfId="0" builtinId="0"/>
    <cellStyle name="Per cent" xfId="1" builtinId="5"/>
  </cellStyles>
  <dxfs count="1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3D5A80"/>
      <color rgb="FFD32F2F"/>
      <color rgb="FFB8A400"/>
      <color rgb="FFCA72A2"/>
      <color rgb="FF592C20"/>
      <color rgb="FF5D9F3C"/>
      <color rgb="FF0B4C0B"/>
      <color rgb="FFE5682A"/>
      <color rgb="FF6A2063"/>
      <color rgb="FF2B9C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a:solidFill>
                  <a:schemeClr val="accent3">
                    <a:lumMod val="50000"/>
                  </a:schemeClr>
                </a:solidFill>
              </a:rPr>
              <a:t>Total</a:t>
            </a:r>
            <a:r>
              <a:rPr lang="en-GB" baseline="0">
                <a:solidFill>
                  <a:schemeClr val="accent3">
                    <a:lumMod val="50000"/>
                  </a:schemeClr>
                </a:solidFill>
              </a:rPr>
              <a:t> n</a:t>
            </a:r>
            <a:r>
              <a:rPr lang="en-GB">
                <a:solidFill>
                  <a:schemeClr val="accent3">
                    <a:lumMod val="50000"/>
                  </a:schemeClr>
                </a:solidFill>
              </a:rPr>
              <a:t>umber of referrals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spPr>
            <a:ln w="28575" cap="rnd">
              <a:solidFill>
                <a:srgbClr val="002D54"/>
              </a:solidFill>
              <a:round/>
            </a:ln>
            <a:effectLst/>
          </c:spPr>
          <c:marker>
            <c:symbol val="circle"/>
            <c:size val="5"/>
            <c:spPr>
              <a:solidFill>
                <a:srgbClr val="002D54"/>
              </a:solidFill>
              <a:ln w="9525">
                <a:noFill/>
              </a:ln>
              <a:effectLst/>
            </c:spPr>
          </c:marker>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ASP REFERRALS'!$C$5:$AL$5</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 ASP REFERRALS'!$C$39:$J$39</c:f>
              <c:numCache>
                <c:formatCode>0</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5AE5-8B43-9A8C-DFA194F308C9}"/>
            </c:ext>
          </c:extLst>
        </c:ser>
        <c:dLbls>
          <c:dLblPos val="t"/>
          <c:showLegendKey val="0"/>
          <c:showVal val="1"/>
          <c:showCatName val="0"/>
          <c:showSerName val="0"/>
          <c:showPercent val="0"/>
          <c:showBubbleSize val="0"/>
        </c:dLbls>
        <c:marker val="1"/>
        <c:smooth val="0"/>
        <c:axId val="696035903"/>
        <c:axId val="934268368"/>
      </c:lineChart>
      <c:catAx>
        <c:axId val="69603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4268368"/>
        <c:crosses val="autoZero"/>
        <c:auto val="1"/>
        <c:lblAlgn val="ctr"/>
        <c:lblOffset val="100"/>
        <c:noMultiLvlLbl val="0"/>
      </c:catAx>
      <c:valAx>
        <c:axId val="934268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9603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a:solidFill>
                  <a:schemeClr val="accent3">
                    <a:lumMod val="50000"/>
                  </a:schemeClr>
                </a:solidFill>
              </a:rPr>
              <a:t>Total</a:t>
            </a:r>
            <a:r>
              <a:rPr lang="en-GB" baseline="0">
                <a:solidFill>
                  <a:schemeClr val="accent3">
                    <a:lumMod val="50000"/>
                  </a:schemeClr>
                </a:solidFill>
              </a:rPr>
              <a:t> </a:t>
            </a:r>
            <a:r>
              <a:rPr lang="en-GB">
                <a:solidFill>
                  <a:schemeClr val="accent3">
                    <a:lumMod val="50000"/>
                  </a:schemeClr>
                </a:solidFill>
              </a:rPr>
              <a:t>referrals and inquiries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v>Total referrals</c:v>
          </c:tx>
          <c:spPr>
            <a:ln w="28575" cap="rnd">
              <a:solidFill>
                <a:srgbClr val="002D54"/>
              </a:solidFill>
              <a:round/>
            </a:ln>
            <a:effectLst/>
          </c:spPr>
          <c:marker>
            <c:symbol val="circle"/>
            <c:size val="5"/>
            <c:spPr>
              <a:solidFill>
                <a:srgbClr val="002D54"/>
              </a:solidFill>
              <a:ln w="9525">
                <a:noFill/>
              </a:ln>
              <a:effectLst/>
            </c:spPr>
          </c:marker>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ASP REFERRALS'!$C$5:$AL$5</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 ASP REFERRALS'!$C$39:$J$39</c:f>
              <c:numCache>
                <c:formatCode>0</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5AE5-8B43-9A8C-DFA194F308C9}"/>
            </c:ext>
          </c:extLst>
        </c:ser>
        <c:ser>
          <c:idx val="1"/>
          <c:order val="1"/>
          <c:tx>
            <c:v>Total inquiries</c:v>
          </c:tx>
          <c:spPr>
            <a:ln w="28575" cap="rnd">
              <a:solidFill>
                <a:srgbClr val="2B9C93"/>
              </a:solidFill>
              <a:round/>
            </a:ln>
            <a:effectLst/>
          </c:spPr>
          <c:marker>
            <c:symbol val="circle"/>
            <c:size val="5"/>
            <c:spPr>
              <a:solidFill>
                <a:srgbClr val="2B9C93"/>
              </a:solidFill>
              <a:ln w="9525">
                <a:noFill/>
              </a:ln>
              <a:effectLst/>
            </c:spPr>
          </c:marker>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'Conversion data'!$C$7:$J$7</c:f>
              <c:numCache>
                <c:formatCode>0</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0A84-CD48-939B-222900EAF901}"/>
            </c:ext>
          </c:extLst>
        </c:ser>
        <c:dLbls>
          <c:dLblPos val="t"/>
          <c:showLegendKey val="0"/>
          <c:showVal val="1"/>
          <c:showCatName val="0"/>
          <c:showSerName val="0"/>
          <c:showPercent val="0"/>
          <c:showBubbleSize val="0"/>
        </c:dLbls>
        <c:marker val="1"/>
        <c:smooth val="0"/>
        <c:axId val="696035903"/>
        <c:axId val="934268368"/>
      </c:lineChart>
      <c:catAx>
        <c:axId val="69603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4268368"/>
        <c:crosses val="autoZero"/>
        <c:auto val="1"/>
        <c:lblAlgn val="ctr"/>
        <c:lblOffset val="100"/>
        <c:noMultiLvlLbl val="0"/>
      </c:catAx>
      <c:valAx>
        <c:axId val="934268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960359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a:solidFill>
                  <a:schemeClr val="accent3">
                    <a:lumMod val="50000"/>
                  </a:schemeClr>
                </a:solidFill>
              </a:rPr>
              <a:t>Inquiries undertaken with/without investigatory</a:t>
            </a:r>
            <a:r>
              <a:rPr lang="en-GB" baseline="0">
                <a:solidFill>
                  <a:schemeClr val="accent3">
                    <a:lumMod val="50000"/>
                  </a:schemeClr>
                </a:solidFill>
              </a:rPr>
              <a:t> powers</a:t>
            </a:r>
            <a:endParaRPr lang="en-GB">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GB"/>
        </a:p>
      </c:txPr>
    </c:title>
    <c:autoTitleDeleted val="0"/>
    <c:plotArea>
      <c:layout/>
      <c:lineChart>
        <c:grouping val="standard"/>
        <c:varyColors val="0"/>
        <c:ser>
          <c:idx val="0"/>
          <c:order val="0"/>
          <c:tx>
            <c:v>Inquiries where investigatory powers not used</c:v>
          </c:tx>
          <c:spPr>
            <a:ln w="28575" cap="rnd">
              <a:solidFill>
                <a:srgbClr val="002D54"/>
              </a:solidFill>
              <a:round/>
            </a:ln>
            <a:effectLst/>
          </c:spPr>
          <c:marker>
            <c:symbol val="circle"/>
            <c:size val="5"/>
            <c:spPr>
              <a:solidFill>
                <a:srgbClr val="002D54"/>
              </a:solidFill>
              <a:ln w="9525">
                <a:noFill/>
              </a:ln>
              <a:effectLst/>
            </c:spPr>
          </c:marker>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'2-3 INQUIRIES'!$C$6:$AL$6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'2-3 INQUIRIES'!$C$7:$J$7</c:f>
              <c:numCache>
                <c:formatCode>0</c:formatCode>
                <c:ptCount val="8"/>
              </c:numCache>
            </c:numRef>
          </c:val>
          <c:smooth val="0"/>
          <c:extLst>
            <c:ext xmlns:c16="http://schemas.microsoft.com/office/drawing/2014/chart" uri="{C3380CC4-5D6E-409C-BE32-E72D297353CC}">
              <c16:uniqueId val="{00000000-8C5B-E44D-9A87-6BFB352B7014}"/>
            </c:ext>
          </c:extLst>
        </c:ser>
        <c:ser>
          <c:idx val="1"/>
          <c:order val="1"/>
          <c:tx>
            <c:v>Inquiries where investigatory powers are used</c:v>
          </c:tx>
          <c:spPr>
            <a:ln w="28575" cap="rnd">
              <a:solidFill>
                <a:srgbClr val="2B9C93"/>
              </a:solidFill>
              <a:round/>
            </a:ln>
            <a:effectLst/>
          </c:spPr>
          <c:marker>
            <c:symbol val="circle"/>
            <c:size val="5"/>
            <c:spPr>
              <a:solidFill>
                <a:srgbClr val="2B9C93"/>
              </a:solidFill>
              <a:ln w="9525">
                <a:noFill/>
              </a:ln>
              <a:effectLst/>
            </c:spPr>
          </c:marker>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'2-3 INQUIRIES'!$C$11:$J$11</c:f>
              <c:numCache>
                <c:formatCode>0</c:formatCode>
                <c:ptCount val="8"/>
              </c:numCache>
            </c:numRef>
          </c:val>
          <c:smooth val="0"/>
          <c:extLst>
            <c:ext xmlns:c16="http://schemas.microsoft.com/office/drawing/2014/chart" uri="{C3380CC4-5D6E-409C-BE32-E72D297353CC}">
              <c16:uniqueId val="{00000001-8C5B-E44D-9A87-6BFB352B7014}"/>
            </c:ext>
          </c:extLst>
        </c:ser>
        <c:dLbls>
          <c:dLblPos val="t"/>
          <c:showLegendKey val="0"/>
          <c:showVal val="1"/>
          <c:showCatName val="0"/>
          <c:showSerName val="0"/>
          <c:showPercent val="0"/>
          <c:showBubbleSize val="0"/>
        </c:dLbls>
        <c:marker val="1"/>
        <c:smooth val="0"/>
        <c:axId val="973141840"/>
        <c:axId val="973143552"/>
      </c:lineChart>
      <c:catAx>
        <c:axId val="97314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73143552"/>
        <c:crosses val="autoZero"/>
        <c:auto val="1"/>
        <c:lblAlgn val="ctr"/>
        <c:lblOffset val="100"/>
        <c:noMultiLvlLbl val="0"/>
      </c:catAx>
      <c:valAx>
        <c:axId val="9731435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73141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chemeClr val="accent3">
                    <a:lumMod val="50000"/>
                  </a:schemeClr>
                </a:solidFill>
              </a:rPr>
              <a:t>Percentage of inquiries undertaken with/without</a:t>
            </a:r>
            <a:r>
              <a:rPr lang="en-GB" baseline="0">
                <a:solidFill>
                  <a:schemeClr val="accent3">
                    <a:lumMod val="50000"/>
                  </a:schemeClr>
                </a:solidFill>
              </a:rPr>
              <a:t> investigatory powers</a:t>
            </a:r>
            <a:endParaRPr lang="en-GB">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percentStacked"/>
        <c:varyColors val="0"/>
        <c:ser>
          <c:idx val="0"/>
          <c:order val="0"/>
          <c:tx>
            <c:strRef>
              <c:f>'2-3 INQUIRIES'!$A$22</c:f>
              <c:strCache>
                <c:ptCount val="1"/>
                <c:pt idx="0">
                  <c:v>Total inquiries where investigatory powers are not used (%)</c:v>
                </c:pt>
              </c:strCache>
            </c:strRef>
          </c:tx>
          <c:spPr>
            <a:solidFill>
              <a:srgbClr val="002D54"/>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'2-3 INQUIRIES'!$C$21:$J$21</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'2-3 INQUIRIES'!$C$22:$J$22</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E893-B140-BD16-C209CF3D353F}"/>
            </c:ext>
          </c:extLst>
        </c:ser>
        <c:ser>
          <c:idx val="1"/>
          <c:order val="1"/>
          <c:tx>
            <c:strRef>
              <c:f>'2-3 INQUIRIES'!$A$23</c:f>
              <c:strCache>
                <c:ptCount val="1"/>
                <c:pt idx="0">
                  <c:v>Total inquiries where  investigatory powers are used (%)</c:v>
                </c:pt>
              </c:strCache>
            </c:strRef>
          </c:tx>
          <c:spPr>
            <a:solidFill>
              <a:srgbClr val="2B9C93"/>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'2-3 INQUIRIES'!$C$21:$J$21</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'2-3 INQUIRIES'!$C$23:$J$23</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E893-B140-BD16-C209CF3D353F}"/>
            </c:ext>
          </c:extLst>
        </c:ser>
        <c:dLbls>
          <c:dLblPos val="ctr"/>
          <c:showLegendKey val="0"/>
          <c:showVal val="1"/>
          <c:showCatName val="0"/>
          <c:showSerName val="0"/>
          <c:showPercent val="0"/>
          <c:showBubbleSize val="0"/>
        </c:dLbls>
        <c:gapWidth val="150"/>
        <c:overlap val="100"/>
        <c:axId val="54426496"/>
        <c:axId val="47224960"/>
      </c:barChart>
      <c:catAx>
        <c:axId val="5442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24960"/>
        <c:crosses val="autoZero"/>
        <c:auto val="1"/>
        <c:lblAlgn val="ctr"/>
        <c:lblOffset val="100"/>
        <c:noMultiLvlLbl val="0"/>
      </c:catAx>
      <c:valAx>
        <c:axId val="47224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26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Conversion rate (%) of referrals to inquiries (all)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0"/>
          <c:spPr>
            <a:ln w="28575" cap="rnd">
              <a:solidFill>
                <a:srgbClr val="002D54"/>
              </a:solidFill>
              <a:round/>
            </a:ln>
            <a:effectLst/>
          </c:spPr>
          <c:marker>
            <c:symbol val="circle"/>
            <c:size val="5"/>
            <c:spPr>
              <a:solidFill>
                <a:srgbClr val="002D54"/>
              </a:solidFill>
              <a:ln w="9525">
                <a:noFill/>
              </a:ln>
              <a:effectLst/>
            </c:spPr>
          </c:marker>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'Conversion data'!$C$5:$J$5</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'Conversion data'!$C$8:$J$8</c:f>
              <c:numCache>
                <c:formatCode>0</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A98D-9E47-B52F-6108BD05F17A}"/>
            </c:ext>
          </c:extLst>
        </c:ser>
        <c:dLbls>
          <c:dLblPos val="t"/>
          <c:showLegendKey val="0"/>
          <c:showVal val="1"/>
          <c:showCatName val="0"/>
          <c:showSerName val="0"/>
          <c:showPercent val="0"/>
          <c:showBubbleSize val="0"/>
        </c:dLbls>
        <c:marker val="1"/>
        <c:smooth val="0"/>
        <c:axId val="45156544"/>
        <c:axId val="47457920"/>
      </c:lineChart>
      <c:catAx>
        <c:axId val="4515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57920"/>
        <c:crosses val="autoZero"/>
        <c:auto val="1"/>
        <c:lblAlgn val="ctr"/>
        <c:lblOffset val="100"/>
        <c:noMultiLvlLbl val="0"/>
      </c:catAx>
      <c:valAx>
        <c:axId val="474579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5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rgbClr val="000000">
                    <a:lumMod val="65000"/>
                    <a:lumOff val="35000"/>
                  </a:srgbClr>
                </a:solidFill>
              </a:rPr>
              <a:t>Conversion rate (%) of referrals to inquiries (with/without investigatory powers)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'Conversion data'!$A$11</c:f>
              <c:strCache>
                <c:ptCount val="1"/>
                <c:pt idx="0">
                  <c:v>Conversion rate (%) Total inquiries where investigatory powers are not used</c:v>
                </c:pt>
              </c:strCache>
            </c:strRef>
          </c:tx>
          <c:spPr>
            <a:ln w="28575" cap="rnd">
              <a:solidFill>
                <a:srgbClr val="002D54"/>
              </a:solidFill>
              <a:round/>
            </a:ln>
            <a:effectLst/>
          </c:spPr>
          <c:marker>
            <c:symbol val="circle"/>
            <c:size val="5"/>
            <c:spPr>
              <a:solidFill>
                <a:srgbClr val="002D54"/>
              </a:solidFill>
              <a:ln w="9525">
                <a:noFill/>
              </a:ln>
              <a:effectLst/>
            </c:spPr>
          </c:marker>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'Conversion data'!$C$5:$J$5</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'Conversion data'!$C$11:$J$11</c:f>
              <c:numCache>
                <c:formatCode>0</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AADF-3D4B-90AF-E73090C5C951}"/>
            </c:ext>
          </c:extLst>
        </c:ser>
        <c:ser>
          <c:idx val="1"/>
          <c:order val="1"/>
          <c:tx>
            <c:strRef>
              <c:f>'Conversion data'!$A$12</c:f>
              <c:strCache>
                <c:ptCount val="1"/>
                <c:pt idx="0">
                  <c:v>Conversion rate (%) Total inquiries where  investigatory powers are used</c:v>
                </c:pt>
              </c:strCache>
            </c:strRef>
          </c:tx>
          <c:spPr>
            <a:ln w="28575" cap="rnd">
              <a:solidFill>
                <a:srgbClr val="2B9C93"/>
              </a:solidFill>
              <a:round/>
            </a:ln>
            <a:effectLst/>
          </c:spPr>
          <c:marker>
            <c:symbol val="circle"/>
            <c:size val="5"/>
            <c:spPr>
              <a:solidFill>
                <a:srgbClr val="2B9C93"/>
              </a:solidFill>
              <a:ln w="9525">
                <a:noFill/>
              </a:ln>
              <a:effectLst/>
            </c:spPr>
          </c:marker>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'Conversion data'!$C$5:$J$5</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'Conversion data'!$C$12:$J$12</c:f>
              <c:numCache>
                <c:formatCode>0</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AADF-3D4B-90AF-E73090C5C951}"/>
            </c:ext>
          </c:extLst>
        </c:ser>
        <c:dLbls>
          <c:dLblPos val="t"/>
          <c:showLegendKey val="0"/>
          <c:showVal val="1"/>
          <c:showCatName val="0"/>
          <c:showSerName val="0"/>
          <c:showPercent val="0"/>
          <c:showBubbleSize val="0"/>
        </c:dLbls>
        <c:marker val="1"/>
        <c:smooth val="0"/>
        <c:axId val="230052223"/>
        <c:axId val="265469247"/>
      </c:lineChart>
      <c:catAx>
        <c:axId val="23005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469247"/>
        <c:crosses val="autoZero"/>
        <c:auto val="1"/>
        <c:lblAlgn val="ctr"/>
        <c:lblOffset val="100"/>
        <c:noMultiLvlLbl val="0"/>
      </c:catAx>
      <c:valAx>
        <c:axId val="2654692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0522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a:solidFill>
                  <a:schemeClr val="accent3">
                    <a:lumMod val="50000"/>
                  </a:schemeClr>
                </a:solidFill>
              </a:rPr>
              <a:t>Total</a:t>
            </a:r>
            <a:r>
              <a:rPr lang="en-GB" baseline="0">
                <a:solidFill>
                  <a:schemeClr val="accent3">
                    <a:lumMod val="50000"/>
                  </a:schemeClr>
                </a:solidFill>
              </a:rPr>
              <a:t> n</a:t>
            </a:r>
            <a:r>
              <a:rPr lang="en-GB">
                <a:solidFill>
                  <a:schemeClr val="accent3">
                    <a:lumMod val="50000"/>
                  </a:schemeClr>
                </a:solidFill>
              </a:rPr>
              <a:t>umber of case conferences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0"/>
          <c:order val="0"/>
          <c:tx>
            <c:v>Number of inital case conferences</c:v>
          </c:tx>
          <c:spPr>
            <a:solidFill>
              <a:srgbClr val="002D54"/>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CCs'!$C$6:$J$6</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'4 CCs'!$C$7:$J$7</c:f>
              <c:numCache>
                <c:formatCode>0</c:formatCode>
                <c:ptCount val="8"/>
              </c:numCache>
            </c:numRef>
          </c:val>
          <c:extLst>
            <c:ext xmlns:c16="http://schemas.microsoft.com/office/drawing/2014/chart" uri="{C3380CC4-5D6E-409C-BE32-E72D297353CC}">
              <c16:uniqueId val="{00000000-87B4-D545-8F47-1106D36EC43B}"/>
            </c:ext>
          </c:extLst>
        </c:ser>
        <c:ser>
          <c:idx val="1"/>
          <c:order val="1"/>
          <c:tx>
            <c:v>Number of review case conferences</c:v>
          </c:tx>
          <c:spPr>
            <a:solidFill>
              <a:srgbClr val="2B9C93"/>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CCs'!$C$6:$J$6</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'4 CCs'!$C$8:$J$8</c:f>
              <c:numCache>
                <c:formatCode>0</c:formatCode>
                <c:ptCount val="8"/>
              </c:numCache>
            </c:numRef>
          </c:val>
          <c:extLst>
            <c:ext xmlns:c16="http://schemas.microsoft.com/office/drawing/2014/chart" uri="{C3380CC4-5D6E-409C-BE32-E72D297353CC}">
              <c16:uniqueId val="{00000001-87B4-D545-8F47-1106D36EC43B}"/>
            </c:ext>
          </c:extLst>
        </c:ser>
        <c:dLbls>
          <c:dLblPos val="ctr"/>
          <c:showLegendKey val="0"/>
          <c:showVal val="1"/>
          <c:showCatName val="0"/>
          <c:showSerName val="0"/>
          <c:showPercent val="0"/>
          <c:showBubbleSize val="0"/>
        </c:dLbls>
        <c:gapWidth val="150"/>
        <c:overlap val="100"/>
        <c:axId val="992468544"/>
        <c:axId val="992623680"/>
      </c:barChart>
      <c:catAx>
        <c:axId val="99246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92623680"/>
        <c:crosses val="autoZero"/>
        <c:auto val="1"/>
        <c:lblAlgn val="ctr"/>
        <c:lblOffset val="100"/>
        <c:noMultiLvlLbl val="0"/>
      </c:catAx>
      <c:valAx>
        <c:axId val="9926236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92468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Number of adults at risk invited to attend CC, plus % uptake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'5-7 CC ATTENDEES'!$A$9</c:f>
              <c:strCache>
                <c:ptCount val="1"/>
                <c:pt idx="0">
                  <c:v>Adults at risk invited to attend a case conference (total)</c:v>
                </c:pt>
              </c:strCache>
            </c:strRef>
          </c:tx>
          <c:spPr>
            <a:solidFill>
              <a:srgbClr val="002D54"/>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'5-7 CC ATTENDEES'!$C$24:$J$24</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'5-7 CC ATTENDEES'!$C$9:$J$9</c:f>
              <c:numCache>
                <c:formatCode>0</c:formatCode>
                <c:ptCount val="8"/>
              </c:numCache>
            </c:numRef>
          </c:val>
          <c:extLst>
            <c:ext xmlns:c16="http://schemas.microsoft.com/office/drawing/2014/chart" uri="{C3380CC4-5D6E-409C-BE32-E72D297353CC}">
              <c16:uniqueId val="{00000001-6485-DC46-8299-6C6D4FD4A1BE}"/>
            </c:ext>
          </c:extLst>
        </c:ser>
        <c:ser>
          <c:idx val="0"/>
          <c:order val="1"/>
          <c:tx>
            <c:strRef>
              <c:f>'5-7 CC ATTENDEES'!$A$10</c:f>
              <c:strCache>
                <c:ptCount val="1"/>
                <c:pt idx="0">
                  <c:v>Adults at risk invited to attend a case conference (percentage uptake)</c:v>
                </c:pt>
              </c:strCache>
            </c:strRef>
          </c:tx>
          <c:spPr>
            <a:solidFill>
              <a:srgbClr val="2B9C93"/>
            </a:solidFill>
            <a:ln>
              <a:noFill/>
            </a:ln>
            <a:effectLst/>
          </c:spPr>
          <c:invertIfNegative val="0"/>
          <c:dLbls>
            <c:dLbl>
              <c:idx val="0"/>
              <c:tx>
                <c:rich>
                  <a:bodyPr/>
                  <a:lstStyle/>
                  <a:p>
                    <a:fld id="{4C52C9B2-C410-B449-892B-9C9B1C801CCD}" type="CELLRANGE">
                      <a:rPr lang="en-US"/>
                      <a:pPr/>
                      <a:t>[CELLRANGE]</a:t>
                    </a:fld>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6485-DC46-8299-6C6D4FD4A1BE}"/>
                </c:ext>
              </c:extLst>
            </c:dLbl>
            <c:dLbl>
              <c:idx val="1"/>
              <c:tx>
                <c:rich>
                  <a:bodyPr/>
                  <a:lstStyle/>
                  <a:p>
                    <a:fld id="{7BC65E5A-3AAA-9E4F-AFD5-7BE950BF01C2}" type="CELLRANGE">
                      <a:rPr lang="en-GB"/>
                      <a:pPr/>
                      <a:t>[CELLRANGE]</a:t>
                    </a:fld>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485-DC46-8299-6C6D4FD4A1BE}"/>
                </c:ext>
              </c:extLst>
            </c:dLbl>
            <c:dLbl>
              <c:idx val="2"/>
              <c:tx>
                <c:rich>
                  <a:bodyPr/>
                  <a:lstStyle/>
                  <a:p>
                    <a:fld id="{E2D2127E-5981-FC45-91B8-26D2EDCFD44D}" type="CELLRANGE">
                      <a:rPr lang="en-GB"/>
                      <a:pPr/>
                      <a:t>[CELLRANGE]</a:t>
                    </a:fld>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485-DC46-8299-6C6D4FD4A1BE}"/>
                </c:ext>
              </c:extLst>
            </c:dLbl>
            <c:dLbl>
              <c:idx val="3"/>
              <c:tx>
                <c:rich>
                  <a:bodyPr/>
                  <a:lstStyle/>
                  <a:p>
                    <a:fld id="{C21A9BE7-8E7A-4D4C-A73E-CF7686C1180C}" type="CELLRANGE">
                      <a:rPr lang="en-GB"/>
                      <a:pPr/>
                      <a:t>[CELLRANGE]</a:t>
                    </a:fld>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485-DC46-8299-6C6D4FD4A1BE}"/>
                </c:ext>
              </c:extLst>
            </c:dLbl>
            <c:dLbl>
              <c:idx val="4"/>
              <c:tx>
                <c:rich>
                  <a:bodyPr/>
                  <a:lstStyle/>
                  <a:p>
                    <a:fld id="{8952A69A-D06D-4047-8C75-B38076D3D554}" type="CELLRANGE">
                      <a:rPr lang="en-GB"/>
                      <a:pPr/>
                      <a:t>[CELLRANGE]</a:t>
                    </a:fld>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485-DC46-8299-6C6D4FD4A1BE}"/>
                </c:ext>
              </c:extLst>
            </c:dLbl>
            <c:dLbl>
              <c:idx val="5"/>
              <c:tx>
                <c:rich>
                  <a:bodyPr/>
                  <a:lstStyle/>
                  <a:p>
                    <a:fld id="{CA873804-CA23-0847-9F25-68D2DC7AA7FD}" type="CELLRANGE">
                      <a:rPr lang="en-GB"/>
                      <a:pPr/>
                      <a:t>[CELLRANGE]</a:t>
                    </a:fld>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485-DC46-8299-6C6D4FD4A1BE}"/>
                </c:ext>
              </c:extLst>
            </c:dLbl>
            <c:dLbl>
              <c:idx val="6"/>
              <c:tx>
                <c:rich>
                  <a:bodyPr/>
                  <a:lstStyle/>
                  <a:p>
                    <a:fld id="{653763B6-3CA7-AA4A-8B5B-DB34DAF69B19}" type="CELLRANGE">
                      <a:rPr lang="en-GB"/>
                      <a:pPr/>
                      <a:t>[CELLRANGE]</a:t>
                    </a:fld>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485-DC46-8299-6C6D4FD4A1BE}"/>
                </c:ext>
              </c:extLst>
            </c:dLbl>
            <c:dLbl>
              <c:idx val="7"/>
              <c:tx>
                <c:rich>
                  <a:bodyPr/>
                  <a:lstStyle/>
                  <a:p>
                    <a:fld id="{6EB86C9D-6CAD-864F-8026-FC9EC92C05B9}" type="CELLRANGE">
                      <a:rPr lang="en-GB"/>
                      <a:pPr/>
                      <a:t>[CELLRANGE]</a:t>
                    </a:fld>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485-DC46-8299-6C6D4FD4A1BE}"/>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eparator>, </c:separator>
            <c:showLeaderLines val="0"/>
            <c:extLst>
              <c:ext xmlns:c15="http://schemas.microsoft.com/office/drawing/2012/chart" uri="{CE6537A1-D6FC-4f65-9D91-7224C49458BB}">
                <c15:showDataLabelsRange val="1"/>
                <c15:showLeaderLines val="0"/>
              </c:ext>
            </c:extLst>
          </c:dLbls>
          <c:cat>
            <c:strRef>
              <c:f>'5-7 CC ATTENDEES'!$C$24:$J$24</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'5-7 CC ATTENDEES'!$C$25:$J$25</c:f>
              <c:numCache>
                <c:formatCode>0</c:formatCode>
                <c:ptCount val="8"/>
                <c:pt idx="0">
                  <c:v>0</c:v>
                </c:pt>
                <c:pt idx="1">
                  <c:v>0</c:v>
                </c:pt>
                <c:pt idx="2">
                  <c:v>0</c:v>
                </c:pt>
                <c:pt idx="3">
                  <c:v>0</c:v>
                </c:pt>
                <c:pt idx="4">
                  <c:v>0</c:v>
                </c:pt>
                <c:pt idx="5">
                  <c:v>0</c:v>
                </c:pt>
                <c:pt idx="6">
                  <c:v>0</c:v>
                </c:pt>
                <c:pt idx="7">
                  <c:v>0</c:v>
                </c:pt>
              </c:numCache>
            </c:numRef>
          </c:val>
          <c:extLst>
            <c:ext xmlns:c15="http://schemas.microsoft.com/office/drawing/2012/chart" uri="{02D57815-91ED-43cb-92C2-25804820EDAC}">
              <c15:datalabelsRange>
                <c15:f>'5-7 CC ATTENDEES'!$C$10:$J$10</c15:f>
                <c15:dlblRangeCache>
                  <c:ptCount val="8"/>
                </c15:dlblRangeCache>
              </c15:datalabelsRange>
            </c:ext>
            <c:ext xmlns:c16="http://schemas.microsoft.com/office/drawing/2014/chart" uri="{C3380CC4-5D6E-409C-BE32-E72D297353CC}">
              <c16:uniqueId val="{00000000-6485-DC46-8299-6C6D4FD4A1BE}"/>
            </c:ext>
          </c:extLst>
        </c:ser>
        <c:dLbls>
          <c:dLblPos val="ctr"/>
          <c:showLegendKey val="0"/>
          <c:showVal val="1"/>
          <c:showCatName val="0"/>
          <c:showSerName val="0"/>
          <c:showPercent val="0"/>
          <c:showBubbleSize val="0"/>
        </c:dLbls>
        <c:gapWidth val="150"/>
        <c:overlap val="50"/>
        <c:axId val="94536128"/>
        <c:axId val="94546432"/>
      </c:barChart>
      <c:catAx>
        <c:axId val="9453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46432"/>
        <c:crosses val="autoZero"/>
        <c:auto val="1"/>
        <c:lblAlgn val="ctr"/>
        <c:lblOffset val="100"/>
        <c:noMultiLvlLbl val="0"/>
      </c:catAx>
      <c:valAx>
        <c:axId val="945464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36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Number of CCs where an independent advocate was invited,</a:t>
            </a:r>
            <a:r>
              <a:rPr lang="en-GB" baseline="0"/>
              <a:t> </a:t>
            </a:r>
            <a:r>
              <a:rPr lang="en-GB"/>
              <a:t>plus % uptake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'5-7 CC ATTENDEES'!$A$14</c:f>
              <c:strCache>
                <c:ptCount val="1"/>
                <c:pt idx="0">
                  <c:v>Number of case conferences where an independent advocate has been invited (total)</c:v>
                </c:pt>
              </c:strCache>
            </c:strRef>
          </c:tx>
          <c:spPr>
            <a:solidFill>
              <a:srgbClr val="002D54"/>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'5-7 CC ATTENDEES'!$C$27:$J$27</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'5-7 CC ATTENDEES'!$C$14:$J$14</c:f>
              <c:numCache>
                <c:formatCode>0</c:formatCode>
                <c:ptCount val="8"/>
              </c:numCache>
            </c:numRef>
          </c:val>
          <c:extLst>
            <c:ext xmlns:c16="http://schemas.microsoft.com/office/drawing/2014/chart" uri="{C3380CC4-5D6E-409C-BE32-E72D297353CC}">
              <c16:uniqueId val="{00000001-6485-DC46-8299-6C6D4FD4A1BE}"/>
            </c:ext>
          </c:extLst>
        </c:ser>
        <c:ser>
          <c:idx val="0"/>
          <c:order val="1"/>
          <c:tx>
            <c:strRef>
              <c:f>'5-7 CC ATTENDEES'!$A$15</c:f>
              <c:strCache>
                <c:ptCount val="1"/>
                <c:pt idx="0">
                  <c:v>Uptake of invitations to attend a case conference by independent advocate (percentage)</c:v>
                </c:pt>
              </c:strCache>
            </c:strRef>
          </c:tx>
          <c:spPr>
            <a:solidFill>
              <a:srgbClr val="2B9C93"/>
            </a:solidFill>
            <a:ln>
              <a:noFill/>
            </a:ln>
            <a:effectLst/>
          </c:spPr>
          <c:invertIfNegative val="0"/>
          <c:dLbls>
            <c:dLbl>
              <c:idx val="0"/>
              <c:tx>
                <c:rich>
                  <a:bodyPr/>
                  <a:lstStyle/>
                  <a:p>
                    <a:fld id="{6D77A35C-20D5-F84F-8031-B3E707377E22}" type="CELLRANGE">
                      <a:rPr lang="en-US"/>
                      <a:pPr/>
                      <a:t>[CELLRANGE]</a:t>
                    </a:fld>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6485-DC46-8299-6C6D4FD4A1BE}"/>
                </c:ext>
              </c:extLst>
            </c:dLbl>
            <c:dLbl>
              <c:idx val="1"/>
              <c:tx>
                <c:rich>
                  <a:bodyPr/>
                  <a:lstStyle/>
                  <a:p>
                    <a:fld id="{0F4A1D04-045F-814B-BEAC-64E8EB3F3933}" type="CELLRANGE">
                      <a:rPr lang="en-GB"/>
                      <a:pPr/>
                      <a:t>[CELLRANGE]</a:t>
                    </a:fld>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485-DC46-8299-6C6D4FD4A1BE}"/>
                </c:ext>
              </c:extLst>
            </c:dLbl>
            <c:dLbl>
              <c:idx val="2"/>
              <c:tx>
                <c:rich>
                  <a:bodyPr/>
                  <a:lstStyle/>
                  <a:p>
                    <a:fld id="{9BC10262-D7EC-B84A-BB36-0F436E38B55E}" type="CELLRANGE">
                      <a:rPr lang="en-GB"/>
                      <a:pPr/>
                      <a:t>[CELLRANGE]</a:t>
                    </a:fld>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485-DC46-8299-6C6D4FD4A1BE}"/>
                </c:ext>
              </c:extLst>
            </c:dLbl>
            <c:dLbl>
              <c:idx val="3"/>
              <c:tx>
                <c:rich>
                  <a:bodyPr/>
                  <a:lstStyle/>
                  <a:p>
                    <a:fld id="{54C5C397-B897-3D49-85DF-4EADD8859DFC}" type="CELLRANGE">
                      <a:rPr lang="en-GB"/>
                      <a:pPr/>
                      <a:t>[CELLRANGE]</a:t>
                    </a:fld>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485-DC46-8299-6C6D4FD4A1BE}"/>
                </c:ext>
              </c:extLst>
            </c:dLbl>
            <c:dLbl>
              <c:idx val="4"/>
              <c:tx>
                <c:rich>
                  <a:bodyPr/>
                  <a:lstStyle/>
                  <a:p>
                    <a:fld id="{C6A9C430-C51B-1D42-923E-2E2D8E32A390}" type="CELLRANGE">
                      <a:rPr lang="en-GB"/>
                      <a:pPr/>
                      <a:t>[CELLRANGE]</a:t>
                    </a:fld>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485-DC46-8299-6C6D4FD4A1BE}"/>
                </c:ext>
              </c:extLst>
            </c:dLbl>
            <c:dLbl>
              <c:idx val="5"/>
              <c:tx>
                <c:rich>
                  <a:bodyPr/>
                  <a:lstStyle/>
                  <a:p>
                    <a:fld id="{07435154-C640-714E-9819-5A98BC6132FE}" type="CELLRANGE">
                      <a:rPr lang="en-GB"/>
                      <a:pPr/>
                      <a:t>[CELLRANGE]</a:t>
                    </a:fld>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485-DC46-8299-6C6D4FD4A1BE}"/>
                </c:ext>
              </c:extLst>
            </c:dLbl>
            <c:dLbl>
              <c:idx val="6"/>
              <c:tx>
                <c:rich>
                  <a:bodyPr/>
                  <a:lstStyle/>
                  <a:p>
                    <a:fld id="{A5E99773-F13B-9C4E-AB9E-3EF93702FD87}" type="CELLRANGE">
                      <a:rPr lang="en-GB"/>
                      <a:pPr/>
                      <a:t>[CELLRANGE]</a:t>
                    </a:fld>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485-DC46-8299-6C6D4FD4A1BE}"/>
                </c:ext>
              </c:extLst>
            </c:dLbl>
            <c:dLbl>
              <c:idx val="7"/>
              <c:tx>
                <c:rich>
                  <a:bodyPr/>
                  <a:lstStyle/>
                  <a:p>
                    <a:fld id="{AAE598AE-DE24-DB4C-B996-6A2233A22589}" type="CELLRANGE">
                      <a:rPr lang="en-GB"/>
                      <a:pPr/>
                      <a:t>[CELLRANGE]</a:t>
                    </a:fld>
                    <a:endParaRPr lang="en-GB"/>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485-DC46-8299-6C6D4FD4A1BE}"/>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eparator>, </c:separator>
            <c:showLeaderLines val="0"/>
            <c:extLst>
              <c:ext xmlns:c15="http://schemas.microsoft.com/office/drawing/2012/chart" uri="{CE6537A1-D6FC-4f65-9D91-7224C49458BB}">
                <c15:showDataLabelsRange val="1"/>
                <c15:showLeaderLines val="0"/>
              </c:ext>
            </c:extLst>
          </c:dLbls>
          <c:cat>
            <c:strRef>
              <c:f>'5-7 CC ATTENDEES'!$C$27:$J$27</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'5-7 CC ATTENDEES'!$C$28:$J$28</c:f>
              <c:numCache>
                <c:formatCode>0</c:formatCode>
                <c:ptCount val="8"/>
                <c:pt idx="0">
                  <c:v>0</c:v>
                </c:pt>
                <c:pt idx="1">
                  <c:v>0</c:v>
                </c:pt>
                <c:pt idx="2">
                  <c:v>0</c:v>
                </c:pt>
                <c:pt idx="3">
                  <c:v>0</c:v>
                </c:pt>
                <c:pt idx="4">
                  <c:v>0</c:v>
                </c:pt>
                <c:pt idx="5">
                  <c:v>0</c:v>
                </c:pt>
                <c:pt idx="6">
                  <c:v>0</c:v>
                </c:pt>
                <c:pt idx="7">
                  <c:v>0</c:v>
                </c:pt>
              </c:numCache>
            </c:numRef>
          </c:val>
          <c:extLst>
            <c:ext xmlns:c15="http://schemas.microsoft.com/office/drawing/2012/chart" uri="{02D57815-91ED-43cb-92C2-25804820EDAC}">
              <c15:datalabelsRange>
                <c15:f>'5-7 CC ATTENDEES'!$C$15:$J$15</c15:f>
                <c15:dlblRangeCache>
                  <c:ptCount val="8"/>
                </c15:dlblRangeCache>
              </c15:datalabelsRange>
            </c:ext>
            <c:ext xmlns:c16="http://schemas.microsoft.com/office/drawing/2014/chart" uri="{C3380CC4-5D6E-409C-BE32-E72D297353CC}">
              <c16:uniqueId val="{00000000-6485-DC46-8299-6C6D4FD4A1BE}"/>
            </c:ext>
          </c:extLst>
        </c:ser>
        <c:dLbls>
          <c:dLblPos val="ctr"/>
          <c:showLegendKey val="0"/>
          <c:showVal val="1"/>
          <c:showCatName val="0"/>
          <c:showSerName val="0"/>
          <c:showPercent val="0"/>
          <c:showBubbleSize val="0"/>
        </c:dLbls>
        <c:gapWidth val="150"/>
        <c:overlap val="50"/>
        <c:axId val="94536128"/>
        <c:axId val="94546432"/>
      </c:barChart>
      <c:catAx>
        <c:axId val="9453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46432"/>
        <c:crosses val="autoZero"/>
        <c:auto val="1"/>
        <c:lblAlgn val="ctr"/>
        <c:lblOffset val="100"/>
        <c:noMultiLvlLbl val="0"/>
      </c:catAx>
      <c:valAx>
        <c:axId val="945464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36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a:solidFill>
                  <a:schemeClr val="accent3">
                    <a:lumMod val="50000"/>
                  </a:schemeClr>
                </a:solidFill>
              </a:rPr>
              <a:t>ASP</a:t>
            </a:r>
            <a:r>
              <a:rPr lang="en-GB" baseline="0">
                <a:solidFill>
                  <a:schemeClr val="accent3">
                    <a:lumMod val="50000"/>
                  </a:schemeClr>
                </a:solidFill>
              </a:rPr>
              <a:t> Protection Plans </a:t>
            </a:r>
            <a:endParaRPr lang="en-GB">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GB"/>
        </a:p>
      </c:txPr>
    </c:title>
    <c:autoTitleDeleted val="0"/>
    <c:plotArea>
      <c:layout/>
      <c:barChart>
        <c:barDir val="col"/>
        <c:grouping val="stacked"/>
        <c:varyColors val="0"/>
        <c:ser>
          <c:idx val="0"/>
          <c:order val="0"/>
          <c:tx>
            <c:strRef>
              <c:f>'8-9 ASPPs &amp; POWERS'!$A$9</c:f>
              <c:strCache>
                <c:ptCount val="1"/>
                <c:pt idx="0">
                  <c:v>Total number of managed ASPPs </c:v>
                </c:pt>
              </c:strCache>
            </c:strRef>
          </c:tx>
          <c:spPr>
            <a:solidFill>
              <a:srgbClr val="002D54"/>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'8-9 ASPPs &amp; POWERS'!$C$8:$J$8</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'8-9 ASPPs &amp; POWERS'!$C$9:$J$9</c:f>
              <c:numCache>
                <c:formatCode>0</c:formatCode>
                <c:ptCount val="8"/>
              </c:numCache>
            </c:numRef>
          </c:val>
          <c:extLst>
            <c:ext xmlns:c16="http://schemas.microsoft.com/office/drawing/2014/chart" uri="{C3380CC4-5D6E-409C-BE32-E72D297353CC}">
              <c16:uniqueId val="{00000000-A73B-464D-B705-759EABC0648F}"/>
            </c:ext>
          </c:extLst>
        </c:ser>
        <c:ser>
          <c:idx val="1"/>
          <c:order val="1"/>
          <c:tx>
            <c:strRef>
              <c:f>'8-9 ASPPs &amp; POWERS'!$A$10</c:f>
              <c:strCache>
                <c:ptCount val="1"/>
                <c:pt idx="0">
                  <c:v>Total number of newly commenced ASPPs</c:v>
                </c:pt>
              </c:strCache>
            </c:strRef>
          </c:tx>
          <c:spPr>
            <a:solidFill>
              <a:srgbClr val="2B9C93"/>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'8-9 ASPPs &amp; POWERS'!$C$8:$J$8</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'8-9 ASPPs &amp; POWERS'!$C$10:$J$10</c:f>
              <c:numCache>
                <c:formatCode>0</c:formatCode>
                <c:ptCount val="8"/>
              </c:numCache>
            </c:numRef>
          </c:val>
          <c:extLst>
            <c:ext xmlns:c16="http://schemas.microsoft.com/office/drawing/2014/chart" uri="{C3380CC4-5D6E-409C-BE32-E72D297353CC}">
              <c16:uniqueId val="{00000001-A73B-464D-B705-759EABC0648F}"/>
            </c:ext>
          </c:extLst>
        </c:ser>
        <c:dLbls>
          <c:showLegendKey val="0"/>
          <c:showVal val="0"/>
          <c:showCatName val="0"/>
          <c:showSerName val="0"/>
          <c:showPercent val="0"/>
          <c:showBubbleSize val="0"/>
        </c:dLbls>
        <c:gapWidth val="219"/>
        <c:overlap val="100"/>
        <c:axId val="703321343"/>
        <c:axId val="973232352"/>
      </c:barChart>
      <c:catAx>
        <c:axId val="70332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73232352"/>
        <c:crosses val="autoZero"/>
        <c:auto val="1"/>
        <c:lblAlgn val="ctr"/>
        <c:lblOffset val="100"/>
        <c:noMultiLvlLbl val="0"/>
      </c:catAx>
      <c:valAx>
        <c:axId val="9732323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3321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a:solidFill>
                  <a:schemeClr val="accent3">
                    <a:lumMod val="50000"/>
                  </a:schemeClr>
                </a:solidFill>
              </a:rPr>
              <a:t>Protection orders granted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0"/>
          <c:order val="0"/>
          <c:tx>
            <c:strRef>
              <c:f>'8-9 ASPPs &amp; POWERS'!$A$20</c:f>
              <c:strCache>
                <c:ptCount val="1"/>
                <c:pt idx="0">
                  <c:v>Assessment orders</c:v>
                </c:pt>
              </c:strCache>
            </c:strRef>
          </c:tx>
          <c:spPr>
            <a:solidFill>
              <a:srgbClr val="002D54"/>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'8-9 ASPPs &amp; POWERS'!$C$19:$AL$19</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'8-9 ASPPs &amp; POWERS'!$C$20:$J$20</c:f>
              <c:numCache>
                <c:formatCode>0</c:formatCode>
                <c:ptCount val="8"/>
              </c:numCache>
            </c:numRef>
          </c:val>
          <c:extLst>
            <c:ext xmlns:c16="http://schemas.microsoft.com/office/drawing/2014/chart" uri="{C3380CC4-5D6E-409C-BE32-E72D297353CC}">
              <c16:uniqueId val="{00000000-0601-DC4B-A6FD-82BF98C9B85D}"/>
            </c:ext>
          </c:extLst>
        </c:ser>
        <c:ser>
          <c:idx val="1"/>
          <c:order val="1"/>
          <c:tx>
            <c:strRef>
              <c:f>'8-9 ASPPs &amp; POWERS'!$A$21</c:f>
              <c:strCache>
                <c:ptCount val="1"/>
                <c:pt idx="0">
                  <c:v>Removal orders</c:v>
                </c:pt>
              </c:strCache>
            </c:strRef>
          </c:tx>
          <c:spPr>
            <a:solidFill>
              <a:srgbClr val="2B9C93"/>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'8-9 ASPPs &amp; POWERS'!$C$19:$AL$19</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'8-9 ASPPs &amp; POWERS'!$C$21:$J$21</c:f>
              <c:numCache>
                <c:formatCode>0</c:formatCode>
                <c:ptCount val="8"/>
              </c:numCache>
            </c:numRef>
          </c:val>
          <c:extLst>
            <c:ext xmlns:c16="http://schemas.microsoft.com/office/drawing/2014/chart" uri="{C3380CC4-5D6E-409C-BE32-E72D297353CC}">
              <c16:uniqueId val="{00000001-0601-DC4B-A6FD-82BF98C9B85D}"/>
            </c:ext>
          </c:extLst>
        </c:ser>
        <c:ser>
          <c:idx val="2"/>
          <c:order val="2"/>
          <c:tx>
            <c:strRef>
              <c:f>'8-9 ASPPs &amp; POWERS'!$A$22</c:f>
              <c:strCache>
                <c:ptCount val="1"/>
                <c:pt idx="0">
                  <c:v>Banning or temporary banning orders</c:v>
                </c:pt>
              </c:strCache>
            </c:strRef>
          </c:tx>
          <c:spPr>
            <a:solidFill>
              <a:srgbClr val="6A2063"/>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'8-9 ASPPs &amp; POWERS'!$C$19:$AL$19</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'8-9 ASPPs &amp; POWERS'!$C$22:$J$22</c:f>
              <c:numCache>
                <c:formatCode>0</c:formatCode>
                <c:ptCount val="8"/>
              </c:numCache>
            </c:numRef>
          </c:val>
          <c:extLst>
            <c:ext xmlns:c16="http://schemas.microsoft.com/office/drawing/2014/chart" uri="{C3380CC4-5D6E-409C-BE32-E72D297353CC}">
              <c16:uniqueId val="{00000002-0601-DC4B-A6FD-82BF98C9B85D}"/>
            </c:ext>
          </c:extLst>
        </c:ser>
        <c:dLbls>
          <c:dLblPos val="ctr"/>
          <c:showLegendKey val="0"/>
          <c:showVal val="1"/>
          <c:showCatName val="0"/>
          <c:showSerName val="0"/>
          <c:showPercent val="0"/>
          <c:showBubbleSize val="0"/>
        </c:dLbls>
        <c:gapWidth val="150"/>
        <c:overlap val="100"/>
        <c:axId val="758199423"/>
        <c:axId val="2075788800"/>
      </c:barChart>
      <c:catAx>
        <c:axId val="75819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75788800"/>
        <c:crosses val="autoZero"/>
        <c:auto val="1"/>
        <c:lblAlgn val="ctr"/>
        <c:lblOffset val="100"/>
        <c:noMultiLvlLbl val="0"/>
      </c:catAx>
      <c:valAx>
        <c:axId val="20757888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58199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GB">
                <a:solidFill>
                  <a:schemeClr val="accent3">
                    <a:lumMod val="50000"/>
                  </a:schemeClr>
                </a:solidFill>
              </a:rPr>
              <a:t>Action taken following inquiries without the use of investigatory powers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lotArea>
      <c:layout/>
      <c:lineChart>
        <c:grouping val="standard"/>
        <c:varyColors val="0"/>
        <c:ser>
          <c:idx val="0"/>
          <c:order val="0"/>
          <c:tx>
            <c:v>Does not meet three-point criteria — NFA</c:v>
          </c:tx>
          <c:spPr>
            <a:ln w="28575" cap="rnd">
              <a:solidFill>
                <a:srgbClr val="002D54"/>
              </a:solidFill>
              <a:round/>
            </a:ln>
            <a:effectLst/>
          </c:spPr>
          <c:marker>
            <c:symbol val="circle"/>
            <c:size val="5"/>
            <c:spPr>
              <a:solidFill>
                <a:srgbClr val="002D54"/>
              </a:solidFill>
              <a:ln w="9525">
                <a:solidFill>
                  <a:srgbClr val="002D54"/>
                </a:solidFill>
              </a:ln>
              <a:effectLst/>
            </c:spPr>
          </c:marker>
          <c:cat>
            <c:strRef>
              <c:f>'10-11 ACTIONS TAKEN'!$C$6:$AL$6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'10-11 ACTIONS TAKEN'!$C$7:$J$7</c:f>
              <c:numCache>
                <c:formatCode>0</c:formatCode>
                <c:ptCount val="8"/>
              </c:numCache>
            </c:numRef>
          </c:val>
          <c:smooth val="0"/>
          <c:extLst>
            <c:ext xmlns:c16="http://schemas.microsoft.com/office/drawing/2014/chart" uri="{C3380CC4-5D6E-409C-BE32-E72D297353CC}">
              <c16:uniqueId val="{00000000-79A3-0D45-9B87-A46BB2EBC999}"/>
            </c:ext>
          </c:extLst>
        </c:ser>
        <c:ser>
          <c:idx val="1"/>
          <c:order val="1"/>
          <c:tx>
            <c:strRef>
              <c:f>'10-11 ACTIONS TAKEN'!$A$8</c:f>
              <c:strCache>
                <c:ptCount val="1"/>
                <c:pt idx="0">
                  <c:v>Does not meet three point criteria - non-ASP support provided or offered</c:v>
                </c:pt>
              </c:strCache>
            </c:strRef>
          </c:tx>
          <c:spPr>
            <a:ln w="28575" cap="rnd">
              <a:solidFill>
                <a:srgbClr val="2B9C93"/>
              </a:solidFill>
              <a:round/>
            </a:ln>
            <a:effectLst/>
          </c:spPr>
          <c:marker>
            <c:symbol val="circle"/>
            <c:size val="5"/>
            <c:spPr>
              <a:solidFill>
                <a:srgbClr val="2B9C93"/>
              </a:solidFill>
              <a:ln w="9525">
                <a:solidFill>
                  <a:srgbClr val="2B9C93"/>
                </a:solidFill>
              </a:ln>
              <a:effectLst/>
            </c:spPr>
          </c:marker>
          <c:cat>
            <c:strRef>
              <c:f>'10-11 ACTIONS TAKEN'!$C$6:$AL$6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'10-11 ACTIONS TAKEN'!$C$8:$J$8</c:f>
              <c:numCache>
                <c:formatCode>0</c:formatCode>
                <c:ptCount val="8"/>
              </c:numCache>
            </c:numRef>
          </c:val>
          <c:smooth val="0"/>
          <c:extLst>
            <c:ext xmlns:c16="http://schemas.microsoft.com/office/drawing/2014/chart" uri="{C3380CC4-5D6E-409C-BE32-E72D297353CC}">
              <c16:uniqueId val="{00000001-79A3-0D45-9B87-A46BB2EBC999}"/>
            </c:ext>
          </c:extLst>
        </c:ser>
        <c:ser>
          <c:idx val="2"/>
          <c:order val="2"/>
          <c:tx>
            <c:strRef>
              <c:f>'10-11 ACTIONS TAKEN'!$A$9</c:f>
              <c:strCache>
                <c:ptCount val="1"/>
                <c:pt idx="0">
                  <c:v>Meets three-point criteria — ongoing ASP work</c:v>
                </c:pt>
              </c:strCache>
            </c:strRef>
          </c:tx>
          <c:spPr>
            <a:ln w="28575" cap="rnd">
              <a:solidFill>
                <a:srgbClr val="6A2063"/>
              </a:solidFill>
              <a:round/>
            </a:ln>
            <a:effectLst/>
          </c:spPr>
          <c:marker>
            <c:symbol val="circle"/>
            <c:size val="5"/>
            <c:spPr>
              <a:solidFill>
                <a:srgbClr val="6A2063"/>
              </a:solidFill>
              <a:ln w="9525">
                <a:solidFill>
                  <a:srgbClr val="6A2063"/>
                </a:solidFill>
              </a:ln>
              <a:effectLst/>
            </c:spPr>
          </c:marker>
          <c:cat>
            <c:strRef>
              <c:f>'10-11 ACTIONS TAKEN'!$C$6:$AL$6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'10-11 ACTIONS TAKEN'!$C$9:$I$9</c:f>
              <c:numCache>
                <c:formatCode>0</c:formatCode>
                <c:ptCount val="7"/>
              </c:numCache>
            </c:numRef>
          </c:val>
          <c:smooth val="0"/>
          <c:extLst>
            <c:ext xmlns:c16="http://schemas.microsoft.com/office/drawing/2014/chart" uri="{C3380CC4-5D6E-409C-BE32-E72D297353CC}">
              <c16:uniqueId val="{00000002-79A3-0D45-9B87-A46BB2EBC999}"/>
            </c:ext>
          </c:extLst>
        </c:ser>
        <c:ser>
          <c:idx val="3"/>
          <c:order val="3"/>
          <c:tx>
            <c:strRef>
              <c:f>'10-11 ACTIONS TAKEN'!$A$10</c:f>
              <c:strCache>
                <c:ptCount val="1"/>
                <c:pt idx="0">
                  <c:v>Meets three-point criteria — non-ASP support provided or offered</c:v>
                </c:pt>
              </c:strCache>
            </c:strRef>
          </c:tx>
          <c:spPr>
            <a:ln w="28575" cap="rnd">
              <a:solidFill>
                <a:srgbClr val="E5682A"/>
              </a:solidFill>
              <a:round/>
            </a:ln>
            <a:effectLst/>
          </c:spPr>
          <c:marker>
            <c:symbol val="circle"/>
            <c:size val="5"/>
            <c:spPr>
              <a:solidFill>
                <a:srgbClr val="E5682A"/>
              </a:solidFill>
              <a:ln w="9525">
                <a:solidFill>
                  <a:srgbClr val="E5682A"/>
                </a:solidFill>
              </a:ln>
              <a:effectLst/>
            </c:spPr>
          </c:marker>
          <c:cat>
            <c:strRef>
              <c:f>'10-11 ACTIONS TAKEN'!$C$6:$AL$6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'10-11 ACTIONS TAKEN'!$C$10:$J$10</c:f>
              <c:numCache>
                <c:formatCode>0</c:formatCode>
                <c:ptCount val="8"/>
              </c:numCache>
            </c:numRef>
          </c:val>
          <c:smooth val="0"/>
          <c:extLst>
            <c:ext xmlns:c16="http://schemas.microsoft.com/office/drawing/2014/chart" uri="{C3380CC4-5D6E-409C-BE32-E72D297353CC}">
              <c16:uniqueId val="{00000005-79A3-0D45-9B87-A46BB2EBC999}"/>
            </c:ext>
          </c:extLst>
        </c:ser>
        <c:ser>
          <c:idx val="4"/>
          <c:order val="4"/>
          <c:tx>
            <c:strRef>
              <c:f>'10-11 ACTIONS TAKEN'!$A$11</c:f>
              <c:strCache>
                <c:ptCount val="1"/>
                <c:pt idx="0">
                  <c:v>Meets three-point criteria — no opportunity for further ASP intervention</c:v>
                </c:pt>
              </c:strCache>
            </c:strRef>
          </c:tx>
          <c:spPr>
            <a:ln w="28575" cap="rnd">
              <a:solidFill>
                <a:srgbClr val="0B4C0B"/>
              </a:solidFill>
              <a:round/>
            </a:ln>
            <a:effectLst/>
          </c:spPr>
          <c:marker>
            <c:symbol val="circle"/>
            <c:size val="5"/>
            <c:spPr>
              <a:solidFill>
                <a:srgbClr val="0B4C0B"/>
              </a:solidFill>
              <a:ln w="9525">
                <a:solidFill>
                  <a:srgbClr val="0B4C0B"/>
                </a:solidFill>
              </a:ln>
              <a:effectLst/>
            </c:spPr>
          </c:marker>
          <c:cat>
            <c:strRef>
              <c:f>'10-11 ACTIONS TAKEN'!$C$6:$AL$6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'10-11 ACTIONS TAKEN'!$C$11:$J$11</c:f>
              <c:numCache>
                <c:formatCode>0</c:formatCode>
                <c:ptCount val="8"/>
              </c:numCache>
            </c:numRef>
          </c:val>
          <c:smooth val="0"/>
          <c:extLst>
            <c:ext xmlns:c16="http://schemas.microsoft.com/office/drawing/2014/chart" uri="{C3380CC4-5D6E-409C-BE32-E72D297353CC}">
              <c16:uniqueId val="{00000006-79A3-0D45-9B87-A46BB2EBC999}"/>
            </c:ext>
          </c:extLst>
        </c:ser>
        <c:ser>
          <c:idx val="5"/>
          <c:order val="5"/>
          <c:tx>
            <c:strRef>
              <c:f>'10-11 ACTIONS TAKEN'!$A$12</c:f>
              <c:strCache>
                <c:ptCount val="1"/>
                <c:pt idx="0">
                  <c:v>Pending/Unknown</c:v>
                </c:pt>
              </c:strCache>
            </c:strRef>
          </c:tx>
          <c:spPr>
            <a:ln w="28575" cap="rnd">
              <a:solidFill>
                <a:srgbClr val="5D9F3C"/>
              </a:solidFill>
              <a:round/>
            </a:ln>
            <a:effectLst/>
          </c:spPr>
          <c:marker>
            <c:symbol val="circle"/>
            <c:size val="5"/>
            <c:spPr>
              <a:solidFill>
                <a:srgbClr val="5D9F3C"/>
              </a:solidFill>
              <a:ln w="9525">
                <a:solidFill>
                  <a:srgbClr val="5D9F3C"/>
                </a:solidFill>
              </a:ln>
              <a:effectLst/>
            </c:spPr>
          </c:marker>
          <c:cat>
            <c:strRef>
              <c:f>'10-11 ACTIONS TAKEN'!$C$6:$AL$6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'10-11 ACTIONS TAKEN'!$C$12:$J$12</c:f>
              <c:numCache>
                <c:formatCode>0</c:formatCode>
                <c:ptCount val="8"/>
              </c:numCache>
            </c:numRef>
          </c:val>
          <c:smooth val="0"/>
          <c:extLst>
            <c:ext xmlns:c16="http://schemas.microsoft.com/office/drawing/2014/chart" uri="{C3380CC4-5D6E-409C-BE32-E72D297353CC}">
              <c16:uniqueId val="{00000007-79A3-0D45-9B87-A46BB2EBC999}"/>
            </c:ext>
          </c:extLst>
        </c:ser>
        <c:dLbls>
          <c:showLegendKey val="0"/>
          <c:showVal val="0"/>
          <c:showCatName val="0"/>
          <c:showSerName val="0"/>
          <c:showPercent val="0"/>
          <c:showBubbleSize val="0"/>
        </c:dLbls>
        <c:marker val="1"/>
        <c:smooth val="0"/>
        <c:axId val="937786976"/>
        <c:axId val="937788688"/>
      </c:lineChart>
      <c:catAx>
        <c:axId val="93778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7788688"/>
        <c:crosses val="autoZero"/>
        <c:auto val="1"/>
        <c:lblAlgn val="ctr"/>
        <c:lblOffset val="100"/>
        <c:noMultiLvlLbl val="0"/>
      </c:catAx>
      <c:valAx>
        <c:axId val="937788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778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a:solidFill>
                  <a:schemeClr val="accent3">
                    <a:lumMod val="50000"/>
                  </a:schemeClr>
                </a:solidFill>
              </a:rPr>
              <a:t>Action taken following inquiries with the use of investigatory powers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cked"/>
        <c:varyColors val="0"/>
        <c:ser>
          <c:idx val="5"/>
          <c:order val="0"/>
          <c:tx>
            <c:strRef>
              <c:f>'10-11 ACTIONS TAKEN'!$A$22</c:f>
              <c:strCache>
                <c:ptCount val="1"/>
                <c:pt idx="0">
                  <c:v>Pending/Unknown</c:v>
                </c:pt>
              </c:strCache>
            </c:strRef>
          </c:tx>
          <c:spPr>
            <a:ln w="28575" cap="rnd">
              <a:solidFill>
                <a:srgbClr val="5D9F3C"/>
              </a:solidFill>
              <a:round/>
            </a:ln>
            <a:effectLst/>
          </c:spPr>
          <c:marker>
            <c:symbol val="circle"/>
            <c:size val="5"/>
            <c:spPr>
              <a:solidFill>
                <a:srgbClr val="5D9F3C"/>
              </a:solidFill>
              <a:ln w="9525">
                <a:solidFill>
                  <a:srgbClr val="5D9F3C"/>
                </a:solidFill>
              </a:ln>
              <a:effectLst/>
            </c:spPr>
          </c:marker>
          <c:cat>
            <c:strRef>
              <c:f>'10-11 ACTIONS TAKEN'!$C$16:$J$16</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'10-11 ACTIONS TAKEN'!$C$22:$J$22</c:f>
              <c:numCache>
                <c:formatCode>0</c:formatCode>
                <c:ptCount val="8"/>
              </c:numCache>
            </c:numRef>
          </c:val>
          <c:smooth val="0"/>
          <c:extLst>
            <c:ext xmlns:c16="http://schemas.microsoft.com/office/drawing/2014/chart" uri="{C3380CC4-5D6E-409C-BE32-E72D297353CC}">
              <c16:uniqueId val="{00000005-65EE-8F49-9A55-E19AAA00C736}"/>
            </c:ext>
          </c:extLst>
        </c:ser>
        <c:ser>
          <c:idx val="4"/>
          <c:order val="1"/>
          <c:tx>
            <c:strRef>
              <c:f>'10-11 ACTIONS TAKEN'!$A$21</c:f>
              <c:strCache>
                <c:ptCount val="1"/>
                <c:pt idx="0">
                  <c:v>Meets three-point criteria — no opportunity for further ASP intervention</c:v>
                </c:pt>
              </c:strCache>
            </c:strRef>
          </c:tx>
          <c:spPr>
            <a:ln w="28575" cap="rnd">
              <a:solidFill>
                <a:srgbClr val="0B4C0B"/>
              </a:solidFill>
              <a:round/>
            </a:ln>
            <a:effectLst/>
          </c:spPr>
          <c:marker>
            <c:symbol val="circle"/>
            <c:size val="5"/>
            <c:spPr>
              <a:solidFill>
                <a:srgbClr val="0B4C0B"/>
              </a:solidFill>
              <a:ln w="9525">
                <a:solidFill>
                  <a:srgbClr val="0B4C0B"/>
                </a:solidFill>
              </a:ln>
              <a:effectLst/>
            </c:spPr>
          </c:marker>
          <c:cat>
            <c:strRef>
              <c:f>'10-11 ACTIONS TAKEN'!$C$16:$J$16</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'10-11 ACTIONS TAKEN'!$C$21:$J$21</c:f>
              <c:numCache>
                <c:formatCode>0</c:formatCode>
                <c:ptCount val="8"/>
              </c:numCache>
            </c:numRef>
          </c:val>
          <c:smooth val="0"/>
          <c:extLst>
            <c:ext xmlns:c16="http://schemas.microsoft.com/office/drawing/2014/chart" uri="{C3380CC4-5D6E-409C-BE32-E72D297353CC}">
              <c16:uniqueId val="{00000004-65EE-8F49-9A55-E19AAA00C736}"/>
            </c:ext>
          </c:extLst>
        </c:ser>
        <c:ser>
          <c:idx val="3"/>
          <c:order val="2"/>
          <c:tx>
            <c:strRef>
              <c:f>'10-11 ACTIONS TAKEN'!$A$20</c:f>
              <c:strCache>
                <c:ptCount val="1"/>
                <c:pt idx="0">
                  <c:v>Meets three-point criteria — non-ASP support provided or offered</c:v>
                </c:pt>
              </c:strCache>
            </c:strRef>
          </c:tx>
          <c:spPr>
            <a:ln w="28575" cap="rnd">
              <a:solidFill>
                <a:srgbClr val="E5682A"/>
              </a:solidFill>
              <a:round/>
            </a:ln>
            <a:effectLst/>
          </c:spPr>
          <c:marker>
            <c:symbol val="circle"/>
            <c:size val="5"/>
            <c:spPr>
              <a:solidFill>
                <a:srgbClr val="E5682A"/>
              </a:solidFill>
              <a:ln w="9525">
                <a:solidFill>
                  <a:srgbClr val="E5682A"/>
                </a:solidFill>
              </a:ln>
              <a:effectLst/>
            </c:spPr>
          </c:marker>
          <c:cat>
            <c:strRef>
              <c:f>'10-11 ACTIONS TAKEN'!$C$16:$J$16</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'10-11 ACTIONS TAKEN'!$C$20:$J$20</c:f>
              <c:numCache>
                <c:formatCode>0</c:formatCode>
                <c:ptCount val="8"/>
              </c:numCache>
            </c:numRef>
          </c:val>
          <c:smooth val="0"/>
          <c:extLst>
            <c:ext xmlns:c16="http://schemas.microsoft.com/office/drawing/2014/chart" uri="{C3380CC4-5D6E-409C-BE32-E72D297353CC}">
              <c16:uniqueId val="{00000003-65EE-8F49-9A55-E19AAA00C736}"/>
            </c:ext>
          </c:extLst>
        </c:ser>
        <c:ser>
          <c:idx val="2"/>
          <c:order val="3"/>
          <c:tx>
            <c:strRef>
              <c:f>'10-11 ACTIONS TAKEN'!$A$19</c:f>
              <c:strCache>
                <c:ptCount val="1"/>
                <c:pt idx="0">
                  <c:v>Meets three-point criteria — ongoing ASP work</c:v>
                </c:pt>
              </c:strCache>
            </c:strRef>
          </c:tx>
          <c:spPr>
            <a:ln w="28575" cap="rnd">
              <a:solidFill>
                <a:srgbClr val="6A2063"/>
              </a:solidFill>
              <a:round/>
            </a:ln>
            <a:effectLst/>
          </c:spPr>
          <c:marker>
            <c:symbol val="circle"/>
            <c:size val="5"/>
            <c:spPr>
              <a:solidFill>
                <a:srgbClr val="6A2063"/>
              </a:solidFill>
              <a:ln w="9525">
                <a:solidFill>
                  <a:srgbClr val="6A2063"/>
                </a:solidFill>
              </a:ln>
              <a:effectLst/>
            </c:spPr>
          </c:marker>
          <c:cat>
            <c:strRef>
              <c:f>'10-11 ACTIONS TAKEN'!$C$16:$J$16</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'10-11 ACTIONS TAKEN'!$C$19:$J$19</c:f>
              <c:numCache>
                <c:formatCode>0</c:formatCode>
                <c:ptCount val="8"/>
              </c:numCache>
            </c:numRef>
          </c:val>
          <c:smooth val="0"/>
          <c:extLst>
            <c:ext xmlns:c16="http://schemas.microsoft.com/office/drawing/2014/chart" uri="{C3380CC4-5D6E-409C-BE32-E72D297353CC}">
              <c16:uniqueId val="{00000002-65EE-8F49-9A55-E19AAA00C736}"/>
            </c:ext>
          </c:extLst>
        </c:ser>
        <c:ser>
          <c:idx val="1"/>
          <c:order val="4"/>
          <c:tx>
            <c:strRef>
              <c:f>'10-11 ACTIONS TAKEN'!$A$18</c:f>
              <c:strCache>
                <c:ptCount val="1"/>
                <c:pt idx="0">
                  <c:v>Does not meet three point criteria - non-ASP support provided or offered</c:v>
                </c:pt>
              </c:strCache>
            </c:strRef>
          </c:tx>
          <c:spPr>
            <a:ln w="28575" cap="rnd">
              <a:solidFill>
                <a:srgbClr val="2B9C93"/>
              </a:solidFill>
              <a:round/>
            </a:ln>
            <a:effectLst/>
          </c:spPr>
          <c:marker>
            <c:symbol val="circle"/>
            <c:size val="5"/>
            <c:spPr>
              <a:solidFill>
                <a:srgbClr val="2B9C93"/>
              </a:solidFill>
              <a:ln w="9525">
                <a:solidFill>
                  <a:srgbClr val="2B9C93"/>
                </a:solidFill>
              </a:ln>
              <a:effectLst/>
            </c:spPr>
          </c:marker>
          <c:cat>
            <c:strRef>
              <c:f>'10-11 ACTIONS TAKEN'!$C$16:$J$16</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'10-11 ACTIONS TAKEN'!$C$18:$J$18</c:f>
              <c:numCache>
                <c:formatCode>0</c:formatCode>
                <c:ptCount val="8"/>
              </c:numCache>
            </c:numRef>
          </c:val>
          <c:smooth val="0"/>
          <c:extLst>
            <c:ext xmlns:c16="http://schemas.microsoft.com/office/drawing/2014/chart" uri="{C3380CC4-5D6E-409C-BE32-E72D297353CC}">
              <c16:uniqueId val="{00000001-65EE-8F49-9A55-E19AAA00C736}"/>
            </c:ext>
          </c:extLst>
        </c:ser>
        <c:ser>
          <c:idx val="0"/>
          <c:order val="5"/>
          <c:tx>
            <c:strRef>
              <c:f>'10-11 ACTIONS TAKEN'!$A$17</c:f>
              <c:strCache>
                <c:ptCount val="1"/>
                <c:pt idx="0">
                  <c:v>Does not meet three-point criteria — NFA</c:v>
                </c:pt>
              </c:strCache>
            </c:strRef>
          </c:tx>
          <c:spPr>
            <a:ln w="28575" cap="rnd">
              <a:solidFill>
                <a:srgbClr val="002D54"/>
              </a:solidFill>
              <a:round/>
            </a:ln>
            <a:effectLst/>
          </c:spPr>
          <c:marker>
            <c:symbol val="circle"/>
            <c:size val="5"/>
            <c:spPr>
              <a:solidFill>
                <a:srgbClr val="002D54"/>
              </a:solidFill>
              <a:ln w="9525">
                <a:solidFill>
                  <a:srgbClr val="002D54"/>
                </a:solidFill>
              </a:ln>
              <a:effectLst/>
            </c:spPr>
          </c:marker>
          <c:cat>
            <c:strRef>
              <c:f>'10-11 ACTIONS TAKEN'!$C$16:$J$16</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'10-11 ACTIONS TAKEN'!$C$17:$J$17</c:f>
              <c:numCache>
                <c:formatCode>0</c:formatCode>
                <c:ptCount val="8"/>
              </c:numCache>
            </c:numRef>
          </c:val>
          <c:smooth val="0"/>
          <c:extLst>
            <c:ext xmlns:c16="http://schemas.microsoft.com/office/drawing/2014/chart" uri="{C3380CC4-5D6E-409C-BE32-E72D297353CC}">
              <c16:uniqueId val="{00000000-65EE-8F49-9A55-E19AAA00C736}"/>
            </c:ext>
          </c:extLst>
        </c:ser>
        <c:dLbls>
          <c:showLegendKey val="0"/>
          <c:showVal val="0"/>
          <c:showCatName val="0"/>
          <c:showSerName val="0"/>
          <c:showPercent val="0"/>
          <c:showBubbleSize val="0"/>
        </c:dLbls>
        <c:marker val="1"/>
        <c:smooth val="0"/>
        <c:axId val="126681375"/>
        <c:axId val="126470031"/>
      </c:lineChart>
      <c:catAx>
        <c:axId val="12668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6470031"/>
        <c:crosses val="autoZero"/>
        <c:auto val="1"/>
        <c:lblAlgn val="ctr"/>
        <c:lblOffset val="100"/>
        <c:noMultiLvlLbl val="0"/>
      </c:catAx>
      <c:valAx>
        <c:axId val="1264700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6681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Gender (all inquiries)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'13 AGE &amp; GENDER'!$A$46</c:f>
              <c:strCache>
                <c:ptCount val="1"/>
                <c:pt idx="0">
                  <c:v>Male</c:v>
                </c:pt>
              </c:strCache>
            </c:strRef>
          </c:tx>
          <c:spPr>
            <a:solidFill>
              <a:srgbClr val="002D54"/>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 AGE &amp; GENDER'!$C$45:$J$45</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'13 AGE &amp; GENDER'!$C$46:$J$46</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DB7E-4D42-BD4D-21521ABCF629}"/>
            </c:ext>
          </c:extLst>
        </c:ser>
        <c:ser>
          <c:idx val="1"/>
          <c:order val="1"/>
          <c:tx>
            <c:strRef>
              <c:f>'13 AGE &amp; GENDER'!$A$47</c:f>
              <c:strCache>
                <c:ptCount val="1"/>
                <c:pt idx="0">
                  <c:v>Female</c:v>
                </c:pt>
              </c:strCache>
            </c:strRef>
          </c:tx>
          <c:spPr>
            <a:solidFill>
              <a:srgbClr val="2B9C93"/>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 AGE &amp; GENDER'!$C$45:$J$45</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'13 AGE &amp; GENDER'!$C$47:$J$47</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DB7E-4D42-BD4D-21521ABCF629}"/>
            </c:ext>
          </c:extLst>
        </c:ser>
        <c:ser>
          <c:idx val="2"/>
          <c:order val="2"/>
          <c:tx>
            <c:strRef>
              <c:f>'13 AGE &amp; GENDER'!$A$48</c:f>
              <c:strCache>
                <c:ptCount val="1"/>
                <c:pt idx="0">
                  <c:v>Trans or non-binary</c:v>
                </c:pt>
              </c:strCache>
            </c:strRef>
          </c:tx>
          <c:spPr>
            <a:solidFill>
              <a:srgbClr val="6A2063"/>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 AGE &amp; GENDER'!$C$45:$J$45</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'13 AGE &amp; GENDER'!$C$48:$J$48</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DB7E-4D42-BD4D-21521ABCF629}"/>
            </c:ext>
          </c:extLst>
        </c:ser>
        <c:ser>
          <c:idx val="3"/>
          <c:order val="3"/>
          <c:tx>
            <c:strRef>
              <c:f>'13 AGE &amp; GENDER'!$A$49</c:f>
              <c:strCache>
                <c:ptCount val="1"/>
                <c:pt idx="0">
                  <c:v>Prefer not to say</c:v>
                </c:pt>
              </c:strCache>
            </c:strRef>
          </c:tx>
          <c:spPr>
            <a:solidFill>
              <a:srgbClr val="E5682A"/>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 AGE &amp; GENDER'!$C$45:$J$45</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'13 AGE &amp; GENDER'!$C$49:$J$49</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3-DB7E-4D42-BD4D-21521ABCF629}"/>
            </c:ext>
          </c:extLst>
        </c:ser>
        <c:dLbls>
          <c:dLblPos val="ctr"/>
          <c:showLegendKey val="0"/>
          <c:showVal val="1"/>
          <c:showCatName val="0"/>
          <c:showSerName val="0"/>
          <c:showPercent val="0"/>
          <c:showBubbleSize val="0"/>
        </c:dLbls>
        <c:gapWidth val="150"/>
        <c:overlap val="100"/>
        <c:axId val="2146425855"/>
        <c:axId val="2117823871"/>
      </c:barChart>
      <c:catAx>
        <c:axId val="214642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823871"/>
        <c:crosses val="autoZero"/>
        <c:auto val="1"/>
        <c:lblAlgn val="ctr"/>
        <c:lblOffset val="100"/>
        <c:noMultiLvlLbl val="0"/>
      </c:catAx>
      <c:valAx>
        <c:axId val="2117823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425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Age groups (all inquiries)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'13 AGE &amp; GENDER'!$A$32</c:f>
              <c:strCache>
                <c:ptCount val="1"/>
                <c:pt idx="0">
                  <c:v>16-17</c:v>
                </c:pt>
              </c:strCache>
            </c:strRef>
          </c:tx>
          <c:spPr>
            <a:solidFill>
              <a:srgbClr val="002D54"/>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 AGE &amp; GENDER'!$C$31:$J$31</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'13 AGE &amp; GENDER'!$C$32:$J$32</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C257-6C42-9DCE-3820486B77F9}"/>
            </c:ext>
          </c:extLst>
        </c:ser>
        <c:ser>
          <c:idx val="1"/>
          <c:order val="1"/>
          <c:tx>
            <c:strRef>
              <c:f>'13 AGE &amp; GENDER'!$A$33</c:f>
              <c:strCache>
                <c:ptCount val="1"/>
                <c:pt idx="0">
                  <c:v>18-24</c:v>
                </c:pt>
              </c:strCache>
            </c:strRef>
          </c:tx>
          <c:spPr>
            <a:solidFill>
              <a:srgbClr val="2B9C93"/>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 AGE &amp; GENDER'!$C$31:$J$31</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'13 AGE &amp; GENDER'!$C$33:$J$33</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C257-6C42-9DCE-3820486B77F9}"/>
            </c:ext>
          </c:extLst>
        </c:ser>
        <c:ser>
          <c:idx val="2"/>
          <c:order val="2"/>
          <c:tx>
            <c:strRef>
              <c:f>'13 AGE &amp; GENDER'!$A$34</c:f>
              <c:strCache>
                <c:ptCount val="1"/>
                <c:pt idx="0">
                  <c:v>25-34</c:v>
                </c:pt>
              </c:strCache>
            </c:strRef>
          </c:tx>
          <c:spPr>
            <a:solidFill>
              <a:srgbClr val="6A2063"/>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 AGE &amp; GENDER'!$C$31:$J$31</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'13 AGE &amp; GENDER'!$C$34:$J$34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C257-6C42-9DCE-3820486B77F9}"/>
            </c:ext>
          </c:extLst>
        </c:ser>
        <c:ser>
          <c:idx val="3"/>
          <c:order val="3"/>
          <c:tx>
            <c:strRef>
              <c:f>'13 AGE &amp; GENDER'!$A$35</c:f>
              <c:strCache>
                <c:ptCount val="1"/>
                <c:pt idx="0">
                  <c:v>35-44</c:v>
                </c:pt>
              </c:strCache>
            </c:strRef>
          </c:tx>
          <c:spPr>
            <a:solidFill>
              <a:srgbClr val="E5682A"/>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 AGE &amp; GENDER'!$C$31:$J$31</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'13 AGE &amp; GENDER'!$C$35:$J$35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3-C257-6C42-9DCE-3820486B77F9}"/>
            </c:ext>
          </c:extLst>
        </c:ser>
        <c:ser>
          <c:idx val="4"/>
          <c:order val="4"/>
          <c:tx>
            <c:strRef>
              <c:f>'13 AGE &amp; GENDER'!$A$36</c:f>
              <c:strCache>
                <c:ptCount val="1"/>
                <c:pt idx="0">
                  <c:v>45-54</c:v>
                </c:pt>
              </c:strCache>
            </c:strRef>
          </c:tx>
          <c:spPr>
            <a:solidFill>
              <a:srgbClr val="0B4C0B"/>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 AGE &amp; GENDER'!$C$31:$J$31</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'13 AGE &amp; GENDER'!$C$36:$J$36</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4-C257-6C42-9DCE-3820486B77F9}"/>
            </c:ext>
          </c:extLst>
        </c:ser>
        <c:ser>
          <c:idx val="5"/>
          <c:order val="5"/>
          <c:tx>
            <c:strRef>
              <c:f>'13 AGE &amp; GENDER'!$A$37</c:f>
              <c:strCache>
                <c:ptCount val="1"/>
                <c:pt idx="0">
                  <c:v>55-64</c:v>
                </c:pt>
              </c:strCache>
            </c:strRef>
          </c:tx>
          <c:spPr>
            <a:solidFill>
              <a:srgbClr val="5D9F3C"/>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 AGE &amp; GENDER'!$C$31:$J$31</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'13 AGE &amp; GENDER'!$C$37:$J$37</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5-C257-6C42-9DCE-3820486B77F9}"/>
            </c:ext>
          </c:extLst>
        </c:ser>
        <c:ser>
          <c:idx val="6"/>
          <c:order val="6"/>
          <c:tx>
            <c:strRef>
              <c:f>'13 AGE &amp; GENDER'!$A$38</c:f>
              <c:strCache>
                <c:ptCount val="1"/>
                <c:pt idx="0">
                  <c:v>65-69</c:v>
                </c:pt>
              </c:strCache>
            </c:strRef>
          </c:tx>
          <c:spPr>
            <a:solidFill>
              <a:srgbClr val="592C20"/>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 AGE &amp; GENDER'!$C$31:$J$31</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'13 AGE &amp; GENDER'!$C$38:$J$38</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6-C257-6C42-9DCE-3820486B77F9}"/>
            </c:ext>
          </c:extLst>
        </c:ser>
        <c:ser>
          <c:idx val="7"/>
          <c:order val="7"/>
          <c:tx>
            <c:strRef>
              <c:f>'13 AGE &amp; GENDER'!$A$39</c:f>
              <c:strCache>
                <c:ptCount val="1"/>
                <c:pt idx="0">
                  <c:v>70-74</c:v>
                </c:pt>
              </c:strCache>
            </c:strRef>
          </c:tx>
          <c:spPr>
            <a:solidFill>
              <a:srgbClr val="CA72A2"/>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 AGE &amp; GENDER'!$C$31:$J$31</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'13 AGE &amp; GENDER'!$C$39:$J$39</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7-C257-6C42-9DCE-3820486B77F9}"/>
            </c:ext>
          </c:extLst>
        </c:ser>
        <c:ser>
          <c:idx val="8"/>
          <c:order val="8"/>
          <c:tx>
            <c:strRef>
              <c:f>'13 AGE &amp; GENDER'!$A$40</c:f>
              <c:strCache>
                <c:ptCount val="1"/>
                <c:pt idx="0">
                  <c:v>75-79</c:v>
                </c:pt>
              </c:strCache>
            </c:strRef>
          </c:tx>
          <c:spPr>
            <a:solidFill>
              <a:srgbClr val="B8A400"/>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 AGE &amp; GENDER'!$C$31:$J$31</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'13 AGE &amp; GENDER'!$C$40:$J$40</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8-C257-6C42-9DCE-3820486B77F9}"/>
            </c:ext>
          </c:extLst>
        </c:ser>
        <c:ser>
          <c:idx val="9"/>
          <c:order val="9"/>
          <c:tx>
            <c:strRef>
              <c:f>'13 AGE &amp; GENDER'!$A$41</c:f>
              <c:strCache>
                <c:ptCount val="1"/>
                <c:pt idx="0">
                  <c:v>80-84</c:v>
                </c:pt>
              </c:strCache>
            </c:strRef>
          </c:tx>
          <c:spPr>
            <a:solidFill>
              <a:srgbClr val="D32F2F"/>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 AGE &amp; GENDER'!$C$31:$J$31</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'13 AGE &amp; GENDER'!$C$41:$J$41</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9-C257-6C42-9DCE-3820486B77F9}"/>
            </c:ext>
          </c:extLst>
        </c:ser>
        <c:ser>
          <c:idx val="10"/>
          <c:order val="10"/>
          <c:tx>
            <c:strRef>
              <c:f>'13 AGE &amp; GENDER'!$A$42</c:f>
              <c:strCache>
                <c:ptCount val="1"/>
                <c:pt idx="0">
                  <c:v>85 +</c:v>
                </c:pt>
              </c:strCache>
            </c:strRef>
          </c:tx>
          <c:spPr>
            <a:solidFill>
              <a:srgbClr val="3D5A80"/>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 AGE &amp; GENDER'!$C$31:$J$31</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'13 AGE &amp; GENDER'!$C$42:$J$42</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A-C257-6C42-9DCE-3820486B77F9}"/>
            </c:ext>
          </c:extLst>
        </c:ser>
        <c:ser>
          <c:idx val="11"/>
          <c:order val="11"/>
          <c:tx>
            <c:strRef>
              <c:f>'13 AGE &amp; GENDER'!$A$43</c:f>
              <c:strCache>
                <c:ptCount val="1"/>
                <c:pt idx="0">
                  <c:v>Not known</c:v>
                </c:pt>
              </c:strCache>
            </c:strRef>
          </c:tx>
          <c:spPr>
            <a:solidFill>
              <a:schemeClr val="bg1">
                <a:lumMod val="50000"/>
              </a:schemeClr>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 AGE &amp; GENDER'!$C$31:$J$31</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'13 AGE &amp; GENDER'!$C$43:$J$43</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B-C257-6C42-9DCE-3820486B77F9}"/>
            </c:ext>
          </c:extLst>
        </c:ser>
        <c:dLbls>
          <c:dLblPos val="ctr"/>
          <c:showLegendKey val="0"/>
          <c:showVal val="1"/>
          <c:showCatName val="0"/>
          <c:showSerName val="0"/>
          <c:showPercent val="0"/>
          <c:showBubbleSize val="0"/>
        </c:dLbls>
        <c:gapWidth val="150"/>
        <c:overlap val="100"/>
        <c:axId val="1243212736"/>
        <c:axId val="1121884288"/>
      </c:barChart>
      <c:catAx>
        <c:axId val="124321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884288"/>
        <c:crosses val="autoZero"/>
        <c:auto val="1"/>
        <c:lblAlgn val="ctr"/>
        <c:lblOffset val="100"/>
        <c:noMultiLvlLbl val="0"/>
      </c:catAx>
      <c:valAx>
        <c:axId val="11218842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212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GB">
                <a:solidFill>
                  <a:schemeClr val="accent3">
                    <a:lumMod val="50000"/>
                  </a:schemeClr>
                </a:solidFill>
              </a:rPr>
              <a:t>Ethnicity (all inquiries)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lotArea>
      <c:layout/>
      <c:barChart>
        <c:barDir val="col"/>
        <c:grouping val="clustered"/>
        <c:varyColors val="0"/>
        <c:ser>
          <c:idx val="0"/>
          <c:order val="0"/>
          <c:tx>
            <c:v>White</c:v>
          </c:tx>
          <c:spPr>
            <a:solidFill>
              <a:srgbClr val="002D54"/>
            </a:solidFill>
            <a:ln>
              <a:solidFill>
                <a:schemeClr val="bg1"/>
              </a:solidFill>
            </a:ln>
            <a:effectLst/>
          </c:spPr>
          <c:invertIfNegative val="0"/>
          <c:cat>
            <c:strRef>
              <c:f>'14 ETHNICITY'!$C$5:$AL$5</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'14 ETHNICITY'!$C$6:$J$6</c:f>
              <c:numCache>
                <c:formatCode>0</c:formatCode>
                <c:ptCount val="8"/>
              </c:numCache>
            </c:numRef>
          </c:val>
          <c:extLst>
            <c:ext xmlns:c16="http://schemas.microsoft.com/office/drawing/2014/chart" uri="{C3380CC4-5D6E-409C-BE32-E72D297353CC}">
              <c16:uniqueId val="{00000000-220C-8846-B144-D385B603E711}"/>
            </c:ext>
          </c:extLst>
        </c:ser>
        <c:ser>
          <c:idx val="1"/>
          <c:order val="1"/>
          <c:tx>
            <c:v>Non-white</c:v>
          </c:tx>
          <c:spPr>
            <a:solidFill>
              <a:srgbClr val="2B9C93"/>
            </a:solidFill>
            <a:ln>
              <a:solidFill>
                <a:schemeClr val="bg1"/>
              </a:solidFill>
            </a:ln>
            <a:effectLst/>
          </c:spPr>
          <c:invertIfNegative val="0"/>
          <c:cat>
            <c:strRef>
              <c:f>'14 ETHNICITY'!$C$5:$AL$5</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'14 ETHNICITY'!$C$26:$J$26</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220C-8846-B144-D385B603E711}"/>
            </c:ext>
          </c:extLst>
        </c:ser>
        <c:ser>
          <c:idx val="2"/>
          <c:order val="2"/>
          <c:tx>
            <c:strRef>
              <c:f>'14 ETHNICITY'!$A$27</c:f>
              <c:strCache>
                <c:ptCount val="1"/>
                <c:pt idx="0">
                  <c:v>Not known / not disclosed</c:v>
                </c:pt>
              </c:strCache>
            </c:strRef>
          </c:tx>
          <c:spPr>
            <a:solidFill>
              <a:srgbClr val="6A2063"/>
            </a:solidFill>
            <a:ln>
              <a:solidFill>
                <a:schemeClr val="bg1"/>
              </a:solidFill>
            </a:ln>
            <a:effectLst/>
          </c:spPr>
          <c:invertIfNegative val="0"/>
          <c:cat>
            <c:strRef>
              <c:f>'14 ETHNICITY'!$C$5:$AL$5</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'14 ETHNICITY'!$C$27:$J$27</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220C-8846-B144-D385B603E711}"/>
            </c:ext>
          </c:extLst>
        </c:ser>
        <c:dLbls>
          <c:showLegendKey val="0"/>
          <c:showVal val="0"/>
          <c:showCatName val="0"/>
          <c:showSerName val="0"/>
          <c:showPercent val="0"/>
          <c:showBubbleSize val="0"/>
        </c:dLbls>
        <c:gapWidth val="219"/>
        <c:axId val="2075355968"/>
        <c:axId val="703355023"/>
      </c:barChart>
      <c:catAx>
        <c:axId val="207535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3355023"/>
        <c:crosses val="autoZero"/>
        <c:auto val="1"/>
        <c:lblAlgn val="ctr"/>
        <c:lblOffset val="100"/>
        <c:noMultiLvlLbl val="0"/>
      </c:catAx>
      <c:valAx>
        <c:axId val="703355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75355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chemeClr val="accent3">
                    <a:lumMod val="50000"/>
                  </a:schemeClr>
                </a:solidFill>
              </a:rPr>
              <a:t>Known non-white ethnicity (excludes</a:t>
            </a:r>
            <a:r>
              <a:rPr lang="en-GB" baseline="0">
                <a:solidFill>
                  <a:schemeClr val="accent3">
                    <a:lumMod val="50000"/>
                  </a:schemeClr>
                </a:solidFill>
              </a:rPr>
              <a:t> white, not known and not disclosed)</a:t>
            </a:r>
            <a:endParaRPr lang="en-GB">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stacked"/>
        <c:varyColors val="0"/>
        <c:ser>
          <c:idx val="0"/>
          <c:order val="0"/>
          <c:tx>
            <c:strRef>
              <c:f>'14 ETHNICITY'!$A$7</c:f>
              <c:strCache>
                <c:ptCount val="1"/>
                <c:pt idx="0">
                  <c:v>Mixed or multiple ethnic groups</c:v>
                </c:pt>
              </c:strCache>
            </c:strRef>
          </c:tx>
          <c:spPr>
            <a:solidFill>
              <a:srgbClr val="002D54"/>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'14 ETHNICITY'!$C$7:$J$7</c:f>
              <c:numCache>
                <c:formatCode>0</c:formatCode>
                <c:ptCount val="8"/>
              </c:numCache>
            </c:numRef>
          </c:val>
          <c:extLst>
            <c:ext xmlns:c16="http://schemas.microsoft.com/office/drawing/2014/chart" uri="{C3380CC4-5D6E-409C-BE32-E72D297353CC}">
              <c16:uniqueId val="{00000000-636F-514B-B3F8-FE5E8590EE63}"/>
            </c:ext>
          </c:extLst>
        </c:ser>
        <c:ser>
          <c:idx val="1"/>
          <c:order val="1"/>
          <c:tx>
            <c:strRef>
              <c:f>'14 ETHNICITY'!$A$8</c:f>
              <c:strCache>
                <c:ptCount val="1"/>
                <c:pt idx="0">
                  <c:v>Asian, Scottish Asian or British Asian</c:v>
                </c:pt>
              </c:strCache>
            </c:strRef>
          </c:tx>
          <c:spPr>
            <a:solidFill>
              <a:srgbClr val="2B9C93"/>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'14 ETHNICITY'!$C$8:$J$8</c:f>
              <c:numCache>
                <c:formatCode>0</c:formatCode>
                <c:ptCount val="8"/>
              </c:numCache>
            </c:numRef>
          </c:val>
          <c:extLst>
            <c:ext xmlns:c16="http://schemas.microsoft.com/office/drawing/2014/chart" uri="{C3380CC4-5D6E-409C-BE32-E72D297353CC}">
              <c16:uniqueId val="{00000001-636F-514B-B3F8-FE5E8590EE63}"/>
            </c:ext>
          </c:extLst>
        </c:ser>
        <c:ser>
          <c:idx val="2"/>
          <c:order val="2"/>
          <c:tx>
            <c:strRef>
              <c:f>'14 ETHNICITY'!$A$9</c:f>
              <c:strCache>
                <c:ptCount val="1"/>
                <c:pt idx="0">
                  <c:v>African, Scottish African or British African</c:v>
                </c:pt>
              </c:strCache>
            </c:strRef>
          </c:tx>
          <c:spPr>
            <a:solidFill>
              <a:srgbClr val="6A2063"/>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'14 ETHNICITY'!$C$9:$J$9</c:f>
              <c:numCache>
                <c:formatCode>0</c:formatCode>
                <c:ptCount val="8"/>
              </c:numCache>
            </c:numRef>
          </c:val>
          <c:extLst>
            <c:ext xmlns:c16="http://schemas.microsoft.com/office/drawing/2014/chart" uri="{C3380CC4-5D6E-409C-BE32-E72D297353CC}">
              <c16:uniqueId val="{00000002-636F-514B-B3F8-FE5E8590EE63}"/>
            </c:ext>
          </c:extLst>
        </c:ser>
        <c:ser>
          <c:idx val="3"/>
          <c:order val="3"/>
          <c:tx>
            <c:strRef>
              <c:f>'14 ETHNICITY'!$A$10</c:f>
              <c:strCache>
                <c:ptCount val="1"/>
                <c:pt idx="0">
                  <c:v>Caribbean or Black</c:v>
                </c:pt>
              </c:strCache>
            </c:strRef>
          </c:tx>
          <c:spPr>
            <a:solidFill>
              <a:srgbClr val="E5682A"/>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'14 ETHNICITY'!$C$10:$J$10</c:f>
              <c:numCache>
                <c:formatCode>0</c:formatCode>
                <c:ptCount val="8"/>
              </c:numCache>
            </c:numRef>
          </c:val>
          <c:extLst>
            <c:ext xmlns:c16="http://schemas.microsoft.com/office/drawing/2014/chart" uri="{C3380CC4-5D6E-409C-BE32-E72D297353CC}">
              <c16:uniqueId val="{00000003-636F-514B-B3F8-FE5E8590EE63}"/>
            </c:ext>
          </c:extLst>
        </c:ser>
        <c:ser>
          <c:idx val="4"/>
          <c:order val="4"/>
          <c:tx>
            <c:strRef>
              <c:f>'14 ETHNICITY'!$A$11</c:f>
              <c:strCache>
                <c:ptCount val="1"/>
                <c:pt idx="0">
                  <c:v>Other ethnic group</c:v>
                </c:pt>
              </c:strCache>
            </c:strRef>
          </c:tx>
          <c:spPr>
            <a:solidFill>
              <a:srgbClr val="0B4C0B"/>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'14 ETHNICITY'!$C$11:$J$11</c:f>
              <c:numCache>
                <c:formatCode>0</c:formatCode>
                <c:ptCount val="8"/>
              </c:numCache>
            </c:numRef>
          </c:val>
          <c:extLst>
            <c:ext xmlns:c16="http://schemas.microsoft.com/office/drawing/2014/chart" uri="{C3380CC4-5D6E-409C-BE32-E72D297353CC}">
              <c16:uniqueId val="{00000004-636F-514B-B3F8-FE5E8590EE63}"/>
            </c:ext>
          </c:extLst>
        </c:ser>
        <c:dLbls>
          <c:dLblPos val="ctr"/>
          <c:showLegendKey val="0"/>
          <c:showVal val="1"/>
          <c:showCatName val="0"/>
          <c:showSerName val="0"/>
          <c:showPercent val="0"/>
          <c:showBubbleSize val="0"/>
        </c:dLbls>
        <c:gapWidth val="150"/>
        <c:overlap val="100"/>
        <c:axId val="103298624"/>
        <c:axId val="54282880"/>
      </c:barChart>
      <c:catAx>
        <c:axId val="10329862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82880"/>
        <c:crosses val="autoZero"/>
        <c:auto val="1"/>
        <c:lblAlgn val="ctr"/>
        <c:lblOffset val="100"/>
        <c:noMultiLvlLbl val="0"/>
      </c:catAx>
      <c:valAx>
        <c:axId val="54282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98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GB">
                <a:solidFill>
                  <a:schemeClr val="accent3">
                    <a:lumMod val="50000"/>
                  </a:schemeClr>
                </a:solidFill>
              </a:rPr>
              <a:t>Inquiries without</a:t>
            </a:r>
            <a:r>
              <a:rPr lang="en-GB" baseline="0">
                <a:solidFill>
                  <a:schemeClr val="accent3">
                    <a:lumMod val="50000"/>
                  </a:schemeClr>
                </a:solidFill>
              </a:rPr>
              <a:t> the use of investigatory powers</a:t>
            </a:r>
            <a:endParaRPr lang="en-GB">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GB"/>
        </a:p>
      </c:txPr>
    </c:title>
    <c:autoTitleDeleted val="0"/>
    <c:plotArea>
      <c:layout/>
      <c:barChart>
        <c:barDir val="col"/>
        <c:grouping val="stacked"/>
        <c:varyColors val="0"/>
        <c:ser>
          <c:idx val="0"/>
          <c:order val="0"/>
          <c:tx>
            <c:strRef>
              <c:f>'15 TYPES OF HARM'!$A$7</c:f>
              <c:strCache>
                <c:ptCount val="1"/>
                <c:pt idx="0">
                  <c:v>Physical harm</c:v>
                </c:pt>
              </c:strCache>
            </c:strRef>
          </c:tx>
          <c:spPr>
            <a:solidFill>
              <a:srgbClr val="002D54"/>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 TYPES OF HARM'!$C$6:$J$6</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'15 TYPES OF HARM'!$C$7:$J$7</c:f>
              <c:numCache>
                <c:formatCode>0</c:formatCode>
                <c:ptCount val="8"/>
              </c:numCache>
            </c:numRef>
          </c:val>
          <c:extLst>
            <c:ext xmlns:c16="http://schemas.microsoft.com/office/drawing/2014/chart" uri="{C3380CC4-5D6E-409C-BE32-E72D297353CC}">
              <c16:uniqueId val="{0000000B-6556-E149-9060-A17BB79936B6}"/>
            </c:ext>
          </c:extLst>
        </c:ser>
        <c:ser>
          <c:idx val="1"/>
          <c:order val="1"/>
          <c:tx>
            <c:strRef>
              <c:f>'15 TYPES OF HARM'!$A$8</c:f>
              <c:strCache>
                <c:ptCount val="1"/>
                <c:pt idx="0">
                  <c:v>Sexual harm</c:v>
                </c:pt>
              </c:strCache>
            </c:strRef>
          </c:tx>
          <c:spPr>
            <a:solidFill>
              <a:srgbClr val="2B9C93"/>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 TYPES OF HARM'!$C$6:$J$6</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'15 TYPES OF HARM'!$C$8:$J$8</c:f>
              <c:numCache>
                <c:formatCode>0</c:formatCode>
                <c:ptCount val="8"/>
              </c:numCache>
            </c:numRef>
          </c:val>
          <c:extLst>
            <c:ext xmlns:c16="http://schemas.microsoft.com/office/drawing/2014/chart" uri="{C3380CC4-5D6E-409C-BE32-E72D297353CC}">
              <c16:uniqueId val="{0000000C-6556-E149-9060-A17BB79936B6}"/>
            </c:ext>
          </c:extLst>
        </c:ser>
        <c:ser>
          <c:idx val="2"/>
          <c:order val="2"/>
          <c:tx>
            <c:strRef>
              <c:f>'15 TYPES OF HARM'!$A$9</c:f>
              <c:strCache>
                <c:ptCount val="1"/>
                <c:pt idx="0">
                  <c:v>Psychological/emotional harm</c:v>
                </c:pt>
              </c:strCache>
            </c:strRef>
          </c:tx>
          <c:spPr>
            <a:solidFill>
              <a:srgbClr val="6A2063"/>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 TYPES OF HARM'!$C$6:$J$6</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'15 TYPES OF HARM'!$C$9:$J$9</c:f>
              <c:numCache>
                <c:formatCode>0</c:formatCode>
                <c:ptCount val="8"/>
              </c:numCache>
            </c:numRef>
          </c:val>
          <c:extLst>
            <c:ext xmlns:c16="http://schemas.microsoft.com/office/drawing/2014/chart" uri="{C3380CC4-5D6E-409C-BE32-E72D297353CC}">
              <c16:uniqueId val="{0000000D-6556-E149-9060-A17BB79936B6}"/>
            </c:ext>
          </c:extLst>
        </c:ser>
        <c:ser>
          <c:idx val="3"/>
          <c:order val="3"/>
          <c:tx>
            <c:strRef>
              <c:f>'15 TYPES OF HARM'!$A$10</c:f>
              <c:strCache>
                <c:ptCount val="1"/>
                <c:pt idx="0">
                  <c:v>Financial or Material harm</c:v>
                </c:pt>
              </c:strCache>
            </c:strRef>
          </c:tx>
          <c:spPr>
            <a:solidFill>
              <a:srgbClr val="E5682A"/>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 TYPES OF HARM'!$C$6:$J$6</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'15 TYPES OF HARM'!$C$10:$J$10</c:f>
              <c:numCache>
                <c:formatCode>0</c:formatCode>
                <c:ptCount val="8"/>
              </c:numCache>
            </c:numRef>
          </c:val>
          <c:extLst>
            <c:ext xmlns:c16="http://schemas.microsoft.com/office/drawing/2014/chart" uri="{C3380CC4-5D6E-409C-BE32-E72D297353CC}">
              <c16:uniqueId val="{0000000E-6556-E149-9060-A17BB79936B6}"/>
            </c:ext>
          </c:extLst>
        </c:ser>
        <c:ser>
          <c:idx val="4"/>
          <c:order val="4"/>
          <c:tx>
            <c:strRef>
              <c:f>'15 TYPES OF HARM'!$A$11</c:f>
              <c:strCache>
                <c:ptCount val="1"/>
                <c:pt idx="0">
                  <c:v>Neglect and Acts of Omission</c:v>
                </c:pt>
              </c:strCache>
            </c:strRef>
          </c:tx>
          <c:spPr>
            <a:solidFill>
              <a:srgbClr val="0B4C0B"/>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 TYPES OF HARM'!$C$6:$J$6</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'15 TYPES OF HARM'!$C$11:$J$11</c:f>
              <c:numCache>
                <c:formatCode>0</c:formatCode>
                <c:ptCount val="8"/>
              </c:numCache>
            </c:numRef>
          </c:val>
          <c:extLst>
            <c:ext xmlns:c16="http://schemas.microsoft.com/office/drawing/2014/chart" uri="{C3380CC4-5D6E-409C-BE32-E72D297353CC}">
              <c16:uniqueId val="{0000000F-6556-E149-9060-A17BB79936B6}"/>
            </c:ext>
          </c:extLst>
        </c:ser>
        <c:ser>
          <c:idx val="5"/>
          <c:order val="5"/>
          <c:tx>
            <c:strRef>
              <c:f>'15 TYPES OF HARM'!$A$12</c:f>
              <c:strCache>
                <c:ptCount val="1"/>
                <c:pt idx="0">
                  <c:v>Discriminatory harm</c:v>
                </c:pt>
              </c:strCache>
            </c:strRef>
          </c:tx>
          <c:spPr>
            <a:solidFill>
              <a:srgbClr val="5D9F3C"/>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 TYPES OF HARM'!$C$6:$J$6</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'15 TYPES OF HARM'!$C$12:$J$12</c:f>
              <c:numCache>
                <c:formatCode>0</c:formatCode>
                <c:ptCount val="8"/>
              </c:numCache>
            </c:numRef>
          </c:val>
          <c:extLst>
            <c:ext xmlns:c16="http://schemas.microsoft.com/office/drawing/2014/chart" uri="{C3380CC4-5D6E-409C-BE32-E72D297353CC}">
              <c16:uniqueId val="{00000010-6556-E149-9060-A17BB79936B6}"/>
            </c:ext>
          </c:extLst>
        </c:ser>
        <c:ser>
          <c:idx val="6"/>
          <c:order val="6"/>
          <c:tx>
            <c:strRef>
              <c:f>'15 TYPES OF HARM'!$A$13</c:f>
              <c:strCache>
                <c:ptCount val="1"/>
                <c:pt idx="0">
                  <c:v>Self harm</c:v>
                </c:pt>
              </c:strCache>
            </c:strRef>
          </c:tx>
          <c:spPr>
            <a:solidFill>
              <a:srgbClr val="592C20"/>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 TYPES OF HARM'!$C$6:$J$6</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'15 TYPES OF HARM'!$C$13:$J$13</c:f>
              <c:numCache>
                <c:formatCode>0</c:formatCode>
                <c:ptCount val="8"/>
              </c:numCache>
            </c:numRef>
          </c:val>
          <c:extLst>
            <c:ext xmlns:c16="http://schemas.microsoft.com/office/drawing/2014/chart" uri="{C3380CC4-5D6E-409C-BE32-E72D297353CC}">
              <c16:uniqueId val="{00000011-6556-E149-9060-A17BB79936B6}"/>
            </c:ext>
          </c:extLst>
        </c:ser>
        <c:ser>
          <c:idx val="7"/>
          <c:order val="7"/>
          <c:tx>
            <c:strRef>
              <c:f>'15 TYPES OF HARM'!$A$14</c:f>
              <c:strCache>
                <c:ptCount val="1"/>
                <c:pt idx="0">
                  <c:v>Self-neglect (excluding hoarding behaviour)</c:v>
                </c:pt>
              </c:strCache>
            </c:strRef>
          </c:tx>
          <c:spPr>
            <a:solidFill>
              <a:srgbClr val="CA72A2"/>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 TYPES OF HARM'!$C$6:$J$6</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'15 TYPES OF HARM'!$C$14:$J$14</c:f>
              <c:numCache>
                <c:formatCode>0</c:formatCode>
                <c:ptCount val="8"/>
              </c:numCache>
            </c:numRef>
          </c:val>
          <c:extLst>
            <c:ext xmlns:c16="http://schemas.microsoft.com/office/drawing/2014/chart" uri="{C3380CC4-5D6E-409C-BE32-E72D297353CC}">
              <c16:uniqueId val="{00000012-6556-E149-9060-A17BB79936B6}"/>
            </c:ext>
          </c:extLst>
        </c:ser>
        <c:ser>
          <c:idx val="8"/>
          <c:order val="8"/>
          <c:tx>
            <c:strRef>
              <c:f>'15 TYPES OF HARM'!$A$15</c:f>
              <c:strCache>
                <c:ptCount val="1"/>
                <c:pt idx="0">
                  <c:v>Domestic abuse</c:v>
                </c:pt>
              </c:strCache>
            </c:strRef>
          </c:tx>
          <c:spPr>
            <a:solidFill>
              <a:srgbClr val="B8A400"/>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 TYPES OF HARM'!$C$6:$J$6</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'15 TYPES OF HARM'!$C$15:$J$15</c:f>
              <c:numCache>
                <c:formatCode>0</c:formatCode>
                <c:ptCount val="8"/>
              </c:numCache>
            </c:numRef>
          </c:val>
          <c:extLst>
            <c:ext xmlns:c16="http://schemas.microsoft.com/office/drawing/2014/chart" uri="{C3380CC4-5D6E-409C-BE32-E72D297353CC}">
              <c16:uniqueId val="{00000013-6556-E149-9060-A17BB79936B6}"/>
            </c:ext>
          </c:extLst>
        </c:ser>
        <c:ser>
          <c:idx val="9"/>
          <c:order val="9"/>
          <c:tx>
            <c:strRef>
              <c:f>'15 TYPES OF HARM'!$A$16</c:f>
              <c:strCache>
                <c:ptCount val="1"/>
                <c:pt idx="0">
                  <c:v>Human trafficking and/or Exploitation</c:v>
                </c:pt>
              </c:strCache>
            </c:strRef>
          </c:tx>
          <c:spPr>
            <a:solidFill>
              <a:srgbClr val="D32F2F"/>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 TYPES OF HARM'!$C$6:$J$6</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'15 TYPES OF HARM'!$C$16:$J$16</c:f>
              <c:numCache>
                <c:formatCode>0</c:formatCode>
                <c:ptCount val="8"/>
              </c:numCache>
            </c:numRef>
          </c:val>
          <c:extLst>
            <c:ext xmlns:c16="http://schemas.microsoft.com/office/drawing/2014/chart" uri="{C3380CC4-5D6E-409C-BE32-E72D297353CC}">
              <c16:uniqueId val="{00000014-6556-E149-9060-A17BB79936B6}"/>
            </c:ext>
          </c:extLst>
        </c:ser>
        <c:ser>
          <c:idx val="11"/>
          <c:order val="10"/>
          <c:tx>
            <c:strRef>
              <c:f>'15 TYPES OF HARM'!$A$17</c:f>
              <c:strCache>
                <c:ptCount val="1"/>
                <c:pt idx="0">
                  <c:v>Hoarding behaviour </c:v>
                </c:pt>
              </c:strCache>
            </c:strRef>
          </c:tx>
          <c:spPr>
            <a:solidFill>
              <a:srgbClr val="3D5A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'15 TYPES OF HARM'!$C$17:$J$17</c:f>
              <c:numCache>
                <c:formatCode>0</c:formatCode>
                <c:ptCount val="8"/>
              </c:numCache>
            </c:numRef>
          </c:val>
          <c:extLst>
            <c:ext xmlns:c16="http://schemas.microsoft.com/office/drawing/2014/chart" uri="{C3380CC4-5D6E-409C-BE32-E72D297353CC}">
              <c16:uniqueId val="{00000000-C35E-BE4F-94AD-6083BA99A8F9}"/>
            </c:ext>
          </c:extLst>
        </c:ser>
        <c:ser>
          <c:idx val="10"/>
          <c:order val="11"/>
          <c:tx>
            <c:strRef>
              <c:f>'15 TYPES OF HARM'!$A$18</c:f>
              <c:strCache>
                <c:ptCount val="1"/>
                <c:pt idx="0">
                  <c:v>Other (please specify below)</c:v>
                </c:pt>
              </c:strCache>
            </c:strRef>
          </c:tx>
          <c:spPr>
            <a:solidFill>
              <a:schemeClr val="bg1">
                <a:lumMod val="50000"/>
              </a:schemeClr>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 TYPES OF HARM'!$C$6:$J$6</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'15 TYPES OF HARM'!$C$18:$J$18</c:f>
              <c:numCache>
                <c:formatCode>0</c:formatCode>
                <c:ptCount val="8"/>
              </c:numCache>
            </c:numRef>
          </c:val>
          <c:extLst>
            <c:ext xmlns:c16="http://schemas.microsoft.com/office/drawing/2014/chart" uri="{C3380CC4-5D6E-409C-BE32-E72D297353CC}">
              <c16:uniqueId val="{00000015-6556-E149-9060-A17BB79936B6}"/>
            </c:ext>
          </c:extLst>
        </c:ser>
        <c:dLbls>
          <c:dLblPos val="ctr"/>
          <c:showLegendKey val="0"/>
          <c:showVal val="1"/>
          <c:showCatName val="0"/>
          <c:showSerName val="0"/>
          <c:showPercent val="0"/>
          <c:showBubbleSize val="0"/>
        </c:dLbls>
        <c:gapWidth val="150"/>
        <c:overlap val="100"/>
        <c:axId val="498071679"/>
        <c:axId val="732445519"/>
      </c:barChart>
      <c:catAx>
        <c:axId val="49807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2445519"/>
        <c:crosses val="autoZero"/>
        <c:auto val="1"/>
        <c:lblAlgn val="ctr"/>
        <c:lblOffset val="100"/>
        <c:noMultiLvlLbl val="0"/>
      </c:catAx>
      <c:valAx>
        <c:axId val="732445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98071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GB">
                <a:solidFill>
                  <a:schemeClr val="accent3">
                    <a:lumMod val="50000"/>
                  </a:schemeClr>
                </a:solidFill>
              </a:rPr>
              <a:t>Inquiries with the use of investigatory powers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lotArea>
      <c:layout/>
      <c:barChart>
        <c:barDir val="col"/>
        <c:grouping val="stacked"/>
        <c:varyColors val="0"/>
        <c:ser>
          <c:idx val="0"/>
          <c:order val="0"/>
          <c:tx>
            <c:strRef>
              <c:f>'15 TYPES OF HARM'!$A$23</c:f>
              <c:strCache>
                <c:ptCount val="1"/>
                <c:pt idx="0">
                  <c:v>Physical harm</c:v>
                </c:pt>
              </c:strCache>
            </c:strRef>
          </c:tx>
          <c:spPr>
            <a:solidFill>
              <a:srgbClr val="002D54"/>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 TYPES OF HARM'!$C$22:$AL$22</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'15 TYPES OF HARM'!$C$23:$J$23</c:f>
              <c:numCache>
                <c:formatCode>0</c:formatCode>
                <c:ptCount val="8"/>
              </c:numCache>
            </c:numRef>
          </c:val>
          <c:extLst>
            <c:ext xmlns:c16="http://schemas.microsoft.com/office/drawing/2014/chart" uri="{C3380CC4-5D6E-409C-BE32-E72D297353CC}">
              <c16:uniqueId val="{00000000-DCC6-2149-99C2-AB9FF4E699D0}"/>
            </c:ext>
          </c:extLst>
        </c:ser>
        <c:ser>
          <c:idx val="1"/>
          <c:order val="1"/>
          <c:tx>
            <c:strRef>
              <c:f>'15 TYPES OF HARM'!$A$24</c:f>
              <c:strCache>
                <c:ptCount val="1"/>
                <c:pt idx="0">
                  <c:v>Sexual harm</c:v>
                </c:pt>
              </c:strCache>
            </c:strRef>
          </c:tx>
          <c:spPr>
            <a:solidFill>
              <a:srgbClr val="2B9C93"/>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 TYPES OF HARM'!$C$22:$AL$22</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'15 TYPES OF HARM'!$C$24:$J$24</c:f>
              <c:numCache>
                <c:formatCode>0</c:formatCode>
                <c:ptCount val="8"/>
              </c:numCache>
            </c:numRef>
          </c:val>
          <c:extLst>
            <c:ext xmlns:c16="http://schemas.microsoft.com/office/drawing/2014/chart" uri="{C3380CC4-5D6E-409C-BE32-E72D297353CC}">
              <c16:uniqueId val="{00000001-DCC6-2149-99C2-AB9FF4E699D0}"/>
            </c:ext>
          </c:extLst>
        </c:ser>
        <c:ser>
          <c:idx val="2"/>
          <c:order val="2"/>
          <c:tx>
            <c:strRef>
              <c:f>'15 TYPES OF HARM'!$A$25</c:f>
              <c:strCache>
                <c:ptCount val="1"/>
                <c:pt idx="0">
                  <c:v>Psychological/emotional harm</c:v>
                </c:pt>
              </c:strCache>
            </c:strRef>
          </c:tx>
          <c:spPr>
            <a:solidFill>
              <a:srgbClr val="6A2063"/>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 TYPES OF HARM'!$C$22:$AL$22</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'15 TYPES OF HARM'!$C$25:$J$25</c:f>
              <c:numCache>
                <c:formatCode>0</c:formatCode>
                <c:ptCount val="8"/>
              </c:numCache>
            </c:numRef>
          </c:val>
          <c:extLst>
            <c:ext xmlns:c16="http://schemas.microsoft.com/office/drawing/2014/chart" uri="{C3380CC4-5D6E-409C-BE32-E72D297353CC}">
              <c16:uniqueId val="{00000002-DCC6-2149-99C2-AB9FF4E699D0}"/>
            </c:ext>
          </c:extLst>
        </c:ser>
        <c:ser>
          <c:idx val="3"/>
          <c:order val="3"/>
          <c:tx>
            <c:strRef>
              <c:f>'15 TYPES OF HARM'!$A$26</c:f>
              <c:strCache>
                <c:ptCount val="1"/>
                <c:pt idx="0">
                  <c:v>Financial or Material harm</c:v>
                </c:pt>
              </c:strCache>
            </c:strRef>
          </c:tx>
          <c:spPr>
            <a:solidFill>
              <a:srgbClr val="E5682A"/>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 TYPES OF HARM'!$C$22:$AL$22</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'15 TYPES OF HARM'!$C$26:$J$26</c:f>
              <c:numCache>
                <c:formatCode>0</c:formatCode>
                <c:ptCount val="8"/>
              </c:numCache>
            </c:numRef>
          </c:val>
          <c:extLst>
            <c:ext xmlns:c16="http://schemas.microsoft.com/office/drawing/2014/chart" uri="{C3380CC4-5D6E-409C-BE32-E72D297353CC}">
              <c16:uniqueId val="{00000003-DCC6-2149-99C2-AB9FF4E699D0}"/>
            </c:ext>
          </c:extLst>
        </c:ser>
        <c:ser>
          <c:idx val="4"/>
          <c:order val="4"/>
          <c:tx>
            <c:strRef>
              <c:f>'15 TYPES OF HARM'!$A$27</c:f>
              <c:strCache>
                <c:ptCount val="1"/>
                <c:pt idx="0">
                  <c:v>Neglect and Acts of Omission</c:v>
                </c:pt>
              </c:strCache>
            </c:strRef>
          </c:tx>
          <c:spPr>
            <a:solidFill>
              <a:srgbClr val="0B4C0B"/>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 TYPES OF HARM'!$C$22:$AL$22</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'15 TYPES OF HARM'!$C$27:$J$27</c:f>
              <c:numCache>
                <c:formatCode>0</c:formatCode>
                <c:ptCount val="8"/>
              </c:numCache>
            </c:numRef>
          </c:val>
          <c:extLst>
            <c:ext xmlns:c16="http://schemas.microsoft.com/office/drawing/2014/chart" uri="{C3380CC4-5D6E-409C-BE32-E72D297353CC}">
              <c16:uniqueId val="{00000004-DCC6-2149-99C2-AB9FF4E699D0}"/>
            </c:ext>
          </c:extLst>
        </c:ser>
        <c:ser>
          <c:idx val="5"/>
          <c:order val="5"/>
          <c:tx>
            <c:strRef>
              <c:f>'15 TYPES OF HARM'!$A$28</c:f>
              <c:strCache>
                <c:ptCount val="1"/>
                <c:pt idx="0">
                  <c:v>Discriminatory harm</c:v>
                </c:pt>
              </c:strCache>
            </c:strRef>
          </c:tx>
          <c:spPr>
            <a:solidFill>
              <a:srgbClr val="5D9F3C"/>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 TYPES OF HARM'!$C$22:$AL$22</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'15 TYPES OF HARM'!$C$28:$J$28</c:f>
              <c:numCache>
                <c:formatCode>0</c:formatCode>
                <c:ptCount val="8"/>
              </c:numCache>
            </c:numRef>
          </c:val>
          <c:extLst>
            <c:ext xmlns:c16="http://schemas.microsoft.com/office/drawing/2014/chart" uri="{C3380CC4-5D6E-409C-BE32-E72D297353CC}">
              <c16:uniqueId val="{00000005-DCC6-2149-99C2-AB9FF4E699D0}"/>
            </c:ext>
          </c:extLst>
        </c:ser>
        <c:ser>
          <c:idx val="6"/>
          <c:order val="6"/>
          <c:tx>
            <c:strRef>
              <c:f>'15 TYPES OF HARM'!$A$29</c:f>
              <c:strCache>
                <c:ptCount val="1"/>
                <c:pt idx="0">
                  <c:v>Self harm</c:v>
                </c:pt>
              </c:strCache>
            </c:strRef>
          </c:tx>
          <c:spPr>
            <a:solidFill>
              <a:srgbClr val="592C20"/>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 TYPES OF HARM'!$C$22:$AL$22</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'15 TYPES OF HARM'!$C$29:$J$29</c:f>
              <c:numCache>
                <c:formatCode>0</c:formatCode>
                <c:ptCount val="8"/>
              </c:numCache>
            </c:numRef>
          </c:val>
          <c:extLst>
            <c:ext xmlns:c16="http://schemas.microsoft.com/office/drawing/2014/chart" uri="{C3380CC4-5D6E-409C-BE32-E72D297353CC}">
              <c16:uniqueId val="{00000006-DCC6-2149-99C2-AB9FF4E699D0}"/>
            </c:ext>
          </c:extLst>
        </c:ser>
        <c:ser>
          <c:idx val="7"/>
          <c:order val="7"/>
          <c:tx>
            <c:strRef>
              <c:f>'15 TYPES OF HARM'!$A$30</c:f>
              <c:strCache>
                <c:ptCount val="1"/>
                <c:pt idx="0">
                  <c:v>Self-neglect (excluding hoarding behaviour)</c:v>
                </c:pt>
              </c:strCache>
            </c:strRef>
          </c:tx>
          <c:spPr>
            <a:solidFill>
              <a:srgbClr val="CA72A2"/>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 TYPES OF HARM'!$C$22:$AL$22</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'15 TYPES OF HARM'!$C$30:$J$30</c:f>
              <c:numCache>
                <c:formatCode>0</c:formatCode>
                <c:ptCount val="8"/>
              </c:numCache>
            </c:numRef>
          </c:val>
          <c:extLst>
            <c:ext xmlns:c16="http://schemas.microsoft.com/office/drawing/2014/chart" uri="{C3380CC4-5D6E-409C-BE32-E72D297353CC}">
              <c16:uniqueId val="{00000007-DCC6-2149-99C2-AB9FF4E699D0}"/>
            </c:ext>
          </c:extLst>
        </c:ser>
        <c:ser>
          <c:idx val="8"/>
          <c:order val="8"/>
          <c:tx>
            <c:strRef>
              <c:f>'15 TYPES OF HARM'!$A$31</c:f>
              <c:strCache>
                <c:ptCount val="1"/>
                <c:pt idx="0">
                  <c:v>Domestic abuse</c:v>
                </c:pt>
              </c:strCache>
            </c:strRef>
          </c:tx>
          <c:spPr>
            <a:solidFill>
              <a:srgbClr val="B8A400"/>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 TYPES OF HARM'!$C$22:$AL$22</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'15 TYPES OF HARM'!$C$31:$J$31</c:f>
              <c:numCache>
                <c:formatCode>0</c:formatCode>
                <c:ptCount val="8"/>
              </c:numCache>
            </c:numRef>
          </c:val>
          <c:extLst>
            <c:ext xmlns:c16="http://schemas.microsoft.com/office/drawing/2014/chart" uri="{C3380CC4-5D6E-409C-BE32-E72D297353CC}">
              <c16:uniqueId val="{00000008-DCC6-2149-99C2-AB9FF4E699D0}"/>
            </c:ext>
          </c:extLst>
        </c:ser>
        <c:ser>
          <c:idx val="9"/>
          <c:order val="9"/>
          <c:tx>
            <c:strRef>
              <c:f>'15 TYPES OF HARM'!$A$32</c:f>
              <c:strCache>
                <c:ptCount val="1"/>
                <c:pt idx="0">
                  <c:v>Human trafficking and/or Exploitation</c:v>
                </c:pt>
              </c:strCache>
            </c:strRef>
          </c:tx>
          <c:spPr>
            <a:solidFill>
              <a:srgbClr val="D32F2F"/>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 TYPES OF HARM'!$C$22:$AL$22</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'15 TYPES OF HARM'!$C$32:$J$32</c:f>
              <c:numCache>
                <c:formatCode>0</c:formatCode>
                <c:ptCount val="8"/>
              </c:numCache>
            </c:numRef>
          </c:val>
          <c:extLst>
            <c:ext xmlns:c16="http://schemas.microsoft.com/office/drawing/2014/chart" uri="{C3380CC4-5D6E-409C-BE32-E72D297353CC}">
              <c16:uniqueId val="{00000009-DCC6-2149-99C2-AB9FF4E699D0}"/>
            </c:ext>
          </c:extLst>
        </c:ser>
        <c:ser>
          <c:idx val="11"/>
          <c:order val="10"/>
          <c:tx>
            <c:strRef>
              <c:f>'15 TYPES OF HARM'!$A$33</c:f>
              <c:strCache>
                <c:ptCount val="1"/>
                <c:pt idx="0">
                  <c:v>Hoarding behaviour </c:v>
                </c:pt>
              </c:strCache>
            </c:strRef>
          </c:tx>
          <c:spPr>
            <a:solidFill>
              <a:srgbClr val="3D5A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'15 TYPES OF HARM'!$C$33:$J$33</c:f>
              <c:numCache>
                <c:formatCode>0</c:formatCode>
                <c:ptCount val="8"/>
              </c:numCache>
            </c:numRef>
          </c:val>
          <c:extLst>
            <c:ext xmlns:c16="http://schemas.microsoft.com/office/drawing/2014/chart" uri="{C3380CC4-5D6E-409C-BE32-E72D297353CC}">
              <c16:uniqueId val="{00000000-EC17-DB48-840B-063718C857EE}"/>
            </c:ext>
          </c:extLst>
        </c:ser>
        <c:ser>
          <c:idx val="10"/>
          <c:order val="11"/>
          <c:tx>
            <c:strRef>
              <c:f>'15 TYPES OF HARM'!$A$34</c:f>
              <c:strCache>
                <c:ptCount val="1"/>
                <c:pt idx="0">
                  <c:v>Other (please specify below)</c:v>
                </c:pt>
              </c:strCache>
            </c:strRef>
          </c:tx>
          <c:spPr>
            <a:solidFill>
              <a:schemeClr val="bg1">
                <a:lumMod val="50000"/>
              </a:schemeClr>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 TYPES OF HARM'!$C$22:$AL$22</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'15 TYPES OF HARM'!$C$34:$J$34</c:f>
              <c:numCache>
                <c:formatCode>0</c:formatCode>
                <c:ptCount val="8"/>
              </c:numCache>
            </c:numRef>
          </c:val>
          <c:extLst>
            <c:ext xmlns:c16="http://schemas.microsoft.com/office/drawing/2014/chart" uri="{C3380CC4-5D6E-409C-BE32-E72D297353CC}">
              <c16:uniqueId val="{0000000A-DCC6-2149-99C2-AB9FF4E699D0}"/>
            </c:ext>
          </c:extLst>
        </c:ser>
        <c:dLbls>
          <c:dLblPos val="ctr"/>
          <c:showLegendKey val="0"/>
          <c:showVal val="1"/>
          <c:showCatName val="0"/>
          <c:showSerName val="0"/>
          <c:showPercent val="0"/>
          <c:showBubbleSize val="0"/>
        </c:dLbls>
        <c:gapWidth val="150"/>
        <c:overlap val="100"/>
        <c:axId val="600455327"/>
        <c:axId val="600617535"/>
      </c:barChart>
      <c:catAx>
        <c:axId val="60045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00617535"/>
        <c:crosses val="autoZero"/>
        <c:auto val="1"/>
        <c:lblAlgn val="ctr"/>
        <c:lblOffset val="100"/>
        <c:noMultiLvlLbl val="0"/>
      </c:catAx>
      <c:valAx>
        <c:axId val="6006175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00455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a:t>Inquiries without the use of investigatory powers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0"/>
          <c:order val="0"/>
          <c:tx>
            <c:strRef>
              <c:f>'16 LOCATION OF HARM'!$A$7</c:f>
              <c:strCache>
                <c:ptCount val="1"/>
                <c:pt idx="0">
                  <c:v>Own home</c:v>
                </c:pt>
              </c:strCache>
            </c:strRef>
          </c:tx>
          <c:spPr>
            <a:solidFill>
              <a:srgbClr val="002D54"/>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'16 LOCATION OF HARM'!$C$6:$AL$6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'16 LOCATION OF HARM'!$C$7:$J$7</c:f>
              <c:numCache>
                <c:formatCode>0</c:formatCode>
                <c:ptCount val="8"/>
              </c:numCache>
            </c:numRef>
          </c:val>
          <c:extLst>
            <c:ext xmlns:c16="http://schemas.microsoft.com/office/drawing/2014/chart" uri="{C3380CC4-5D6E-409C-BE32-E72D297353CC}">
              <c16:uniqueId val="{00000000-7328-DA46-BAB4-0C2FBDEFD20F}"/>
            </c:ext>
          </c:extLst>
        </c:ser>
        <c:ser>
          <c:idx val="1"/>
          <c:order val="1"/>
          <c:tx>
            <c:strRef>
              <c:f>'16 LOCATION OF HARM'!$A$8</c:f>
              <c:strCache>
                <c:ptCount val="1"/>
                <c:pt idx="0">
                  <c:v>Other private address</c:v>
                </c:pt>
              </c:strCache>
            </c:strRef>
          </c:tx>
          <c:spPr>
            <a:solidFill>
              <a:srgbClr val="2B9C93"/>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'16 LOCATION OF HARM'!$C$6:$AL$6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'16 LOCATION OF HARM'!$C$8:$J$8</c:f>
              <c:numCache>
                <c:formatCode>0</c:formatCode>
                <c:ptCount val="8"/>
              </c:numCache>
            </c:numRef>
          </c:val>
          <c:extLst>
            <c:ext xmlns:c16="http://schemas.microsoft.com/office/drawing/2014/chart" uri="{C3380CC4-5D6E-409C-BE32-E72D297353CC}">
              <c16:uniqueId val="{00000001-7328-DA46-BAB4-0C2FBDEFD20F}"/>
            </c:ext>
          </c:extLst>
        </c:ser>
        <c:ser>
          <c:idx val="2"/>
          <c:order val="2"/>
          <c:tx>
            <c:strRef>
              <c:f>'16 LOCATION OF HARM'!$A$9</c:f>
              <c:strCache>
                <c:ptCount val="1"/>
                <c:pt idx="0">
                  <c:v>Care Home</c:v>
                </c:pt>
              </c:strCache>
            </c:strRef>
          </c:tx>
          <c:spPr>
            <a:solidFill>
              <a:srgbClr val="6A2063"/>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'16 LOCATION OF HARM'!$C$6:$AL$6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'16 LOCATION OF HARM'!$C$9:$J$9</c:f>
              <c:numCache>
                <c:formatCode>0</c:formatCode>
                <c:ptCount val="8"/>
              </c:numCache>
            </c:numRef>
          </c:val>
          <c:extLst>
            <c:ext xmlns:c16="http://schemas.microsoft.com/office/drawing/2014/chart" uri="{C3380CC4-5D6E-409C-BE32-E72D297353CC}">
              <c16:uniqueId val="{00000002-7328-DA46-BAB4-0C2FBDEFD20F}"/>
            </c:ext>
          </c:extLst>
        </c:ser>
        <c:ser>
          <c:idx val="3"/>
          <c:order val="3"/>
          <c:tx>
            <c:strRef>
              <c:f>'16 LOCATION OF HARM'!$A$10</c:f>
              <c:strCache>
                <c:ptCount val="1"/>
                <c:pt idx="0">
                  <c:v>Sheltered housing/other supported accommodation</c:v>
                </c:pt>
              </c:strCache>
            </c:strRef>
          </c:tx>
          <c:spPr>
            <a:solidFill>
              <a:srgbClr val="E5682A"/>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'16 LOCATION OF HARM'!$C$6:$AL$6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'16 LOCATION OF HARM'!$C$10:$J$10</c:f>
              <c:numCache>
                <c:formatCode>0</c:formatCode>
                <c:ptCount val="8"/>
              </c:numCache>
            </c:numRef>
          </c:val>
          <c:extLst>
            <c:ext xmlns:c16="http://schemas.microsoft.com/office/drawing/2014/chart" uri="{C3380CC4-5D6E-409C-BE32-E72D297353CC}">
              <c16:uniqueId val="{00000003-7328-DA46-BAB4-0C2FBDEFD20F}"/>
            </c:ext>
          </c:extLst>
        </c:ser>
        <c:ser>
          <c:idx val="4"/>
          <c:order val="4"/>
          <c:tx>
            <c:strRef>
              <c:f>'16 LOCATION OF HARM'!$A$11</c:f>
              <c:strCache>
                <c:ptCount val="1"/>
                <c:pt idx="0">
                  <c:v>Day Centre</c:v>
                </c:pt>
              </c:strCache>
            </c:strRef>
          </c:tx>
          <c:spPr>
            <a:solidFill>
              <a:srgbClr val="0B4C0B"/>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'16 LOCATION OF HARM'!$C$6:$AL$6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'16 LOCATION OF HARM'!$C$11:$J$11</c:f>
              <c:numCache>
                <c:formatCode>0</c:formatCode>
                <c:ptCount val="8"/>
              </c:numCache>
            </c:numRef>
          </c:val>
          <c:extLst>
            <c:ext xmlns:c16="http://schemas.microsoft.com/office/drawing/2014/chart" uri="{C3380CC4-5D6E-409C-BE32-E72D297353CC}">
              <c16:uniqueId val="{00000004-7328-DA46-BAB4-0C2FBDEFD20F}"/>
            </c:ext>
          </c:extLst>
        </c:ser>
        <c:ser>
          <c:idx val="5"/>
          <c:order val="5"/>
          <c:tx>
            <c:strRef>
              <c:f>'16 LOCATION OF HARM'!$A$12</c:f>
              <c:strCache>
                <c:ptCount val="1"/>
                <c:pt idx="0">
                  <c:v>Public place</c:v>
                </c:pt>
              </c:strCache>
            </c:strRef>
          </c:tx>
          <c:spPr>
            <a:solidFill>
              <a:srgbClr val="5D9F3C"/>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'16 LOCATION OF HARM'!$C$6:$AL$6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'16 LOCATION OF HARM'!$C$12:$J$12</c:f>
              <c:numCache>
                <c:formatCode>0</c:formatCode>
                <c:ptCount val="8"/>
              </c:numCache>
            </c:numRef>
          </c:val>
          <c:extLst>
            <c:ext xmlns:c16="http://schemas.microsoft.com/office/drawing/2014/chart" uri="{C3380CC4-5D6E-409C-BE32-E72D297353CC}">
              <c16:uniqueId val="{00000005-7328-DA46-BAB4-0C2FBDEFD20F}"/>
            </c:ext>
          </c:extLst>
        </c:ser>
        <c:ser>
          <c:idx val="6"/>
          <c:order val="6"/>
          <c:tx>
            <c:strRef>
              <c:f>'16 LOCATION OF HARM'!$A$13</c:f>
              <c:strCache>
                <c:ptCount val="1"/>
                <c:pt idx="0">
                  <c:v>NHS facility</c:v>
                </c:pt>
              </c:strCache>
            </c:strRef>
          </c:tx>
          <c:spPr>
            <a:solidFill>
              <a:srgbClr val="592C20"/>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'16 LOCATION OF HARM'!$C$6:$AL$6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'16 LOCATION OF HARM'!$C$13:$J$13</c:f>
              <c:numCache>
                <c:formatCode>0</c:formatCode>
                <c:ptCount val="8"/>
              </c:numCache>
            </c:numRef>
          </c:val>
          <c:extLst>
            <c:ext xmlns:c16="http://schemas.microsoft.com/office/drawing/2014/chart" uri="{C3380CC4-5D6E-409C-BE32-E72D297353CC}">
              <c16:uniqueId val="{00000006-7328-DA46-BAB4-0C2FBDEFD20F}"/>
            </c:ext>
          </c:extLst>
        </c:ser>
        <c:ser>
          <c:idx val="7"/>
          <c:order val="7"/>
          <c:tx>
            <c:strRef>
              <c:f>'16 LOCATION OF HARM'!$A$14</c:f>
              <c:strCache>
                <c:ptCount val="1"/>
                <c:pt idx="0">
                  <c:v>Independent hospital</c:v>
                </c:pt>
              </c:strCache>
            </c:strRef>
          </c:tx>
          <c:spPr>
            <a:solidFill>
              <a:srgbClr val="CA72A2"/>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'16 LOCATION OF HARM'!$C$6:$AL$6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'16 LOCATION OF HARM'!$C$14:$J$14</c:f>
              <c:numCache>
                <c:formatCode>0</c:formatCode>
                <c:ptCount val="8"/>
              </c:numCache>
            </c:numRef>
          </c:val>
          <c:extLst>
            <c:ext xmlns:c16="http://schemas.microsoft.com/office/drawing/2014/chart" uri="{C3380CC4-5D6E-409C-BE32-E72D297353CC}">
              <c16:uniqueId val="{00000007-7328-DA46-BAB4-0C2FBDEFD20F}"/>
            </c:ext>
          </c:extLst>
        </c:ser>
        <c:ser>
          <c:idx val="8"/>
          <c:order val="8"/>
          <c:tx>
            <c:strRef>
              <c:f>'16 LOCATION OF HARM'!$A$15</c:f>
              <c:strCache>
                <c:ptCount val="1"/>
                <c:pt idx="0">
                  <c:v>Online</c:v>
                </c:pt>
              </c:strCache>
            </c:strRef>
          </c:tx>
          <c:spPr>
            <a:solidFill>
              <a:srgbClr val="B8A400"/>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'16 LOCATION OF HARM'!$C$6:$AL$6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'16 LOCATION OF HARM'!$C$15:$J$15</c:f>
              <c:numCache>
                <c:formatCode>0</c:formatCode>
                <c:ptCount val="8"/>
              </c:numCache>
            </c:numRef>
          </c:val>
          <c:extLst>
            <c:ext xmlns:c16="http://schemas.microsoft.com/office/drawing/2014/chart" uri="{C3380CC4-5D6E-409C-BE32-E72D297353CC}">
              <c16:uniqueId val="{00000008-7328-DA46-BAB4-0C2FBDEFD20F}"/>
            </c:ext>
          </c:extLst>
        </c:ser>
        <c:ser>
          <c:idx val="9"/>
          <c:order val="9"/>
          <c:tx>
            <c:strRef>
              <c:f>'16 LOCATION OF HARM'!$A$16</c:f>
              <c:strCache>
                <c:ptCount val="1"/>
                <c:pt idx="0">
                  <c:v>Other (please specify below)</c:v>
                </c:pt>
              </c:strCache>
            </c:strRef>
          </c:tx>
          <c:spPr>
            <a:solidFill>
              <a:srgbClr val="D32F2F"/>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'16 LOCATION OF HARM'!$C$6:$AL$6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'16 LOCATION OF HARM'!$C$16:$J$16</c:f>
              <c:numCache>
                <c:formatCode>0</c:formatCode>
                <c:ptCount val="8"/>
              </c:numCache>
            </c:numRef>
          </c:val>
          <c:extLst>
            <c:ext xmlns:c16="http://schemas.microsoft.com/office/drawing/2014/chart" uri="{C3380CC4-5D6E-409C-BE32-E72D297353CC}">
              <c16:uniqueId val="{00000009-7328-DA46-BAB4-0C2FBDEFD20F}"/>
            </c:ext>
          </c:extLst>
        </c:ser>
        <c:ser>
          <c:idx val="10"/>
          <c:order val="10"/>
          <c:tx>
            <c:strRef>
              <c:f>'16 LOCATION OF HARM'!$A$17</c:f>
              <c:strCache>
                <c:ptCount val="1"/>
                <c:pt idx="0">
                  <c:v>Not known</c:v>
                </c:pt>
              </c:strCache>
            </c:strRef>
          </c:tx>
          <c:spPr>
            <a:solidFill>
              <a:srgbClr val="3D5A80"/>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'16 LOCATION OF HARM'!$C$6:$AL$6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'16 LOCATION OF HARM'!$C$17:$J$17</c:f>
              <c:numCache>
                <c:formatCode>0</c:formatCode>
                <c:ptCount val="8"/>
              </c:numCache>
            </c:numRef>
          </c:val>
          <c:extLst>
            <c:ext xmlns:c16="http://schemas.microsoft.com/office/drawing/2014/chart" uri="{C3380CC4-5D6E-409C-BE32-E72D297353CC}">
              <c16:uniqueId val="{0000000A-7328-DA46-BAB4-0C2FBDEFD20F}"/>
            </c:ext>
          </c:extLst>
        </c:ser>
        <c:dLbls>
          <c:dLblPos val="ctr"/>
          <c:showLegendKey val="0"/>
          <c:showVal val="1"/>
          <c:showCatName val="0"/>
          <c:showSerName val="0"/>
          <c:showPercent val="0"/>
          <c:showBubbleSize val="0"/>
        </c:dLbls>
        <c:gapWidth val="150"/>
        <c:overlap val="100"/>
        <c:axId val="938267152"/>
        <c:axId val="937873840"/>
      </c:barChart>
      <c:catAx>
        <c:axId val="93826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7873840"/>
        <c:crosses val="autoZero"/>
        <c:auto val="1"/>
        <c:lblAlgn val="ctr"/>
        <c:lblOffset val="100"/>
        <c:noMultiLvlLbl val="0"/>
      </c:catAx>
      <c:valAx>
        <c:axId val="937873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8267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a:t>Inquiries without the use of investigatory powers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0"/>
          <c:order val="0"/>
          <c:tx>
            <c:strRef>
              <c:f>'16 LOCATION OF HARM'!$A$22</c:f>
              <c:strCache>
                <c:ptCount val="1"/>
                <c:pt idx="0">
                  <c:v>Own home</c:v>
                </c:pt>
              </c:strCache>
            </c:strRef>
          </c:tx>
          <c:spPr>
            <a:solidFill>
              <a:srgbClr val="002D54"/>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'16 LOCATION OF HARM'!$C$21:$AL$21</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'16 LOCATION OF HARM'!$C$22:$J$22</c:f>
              <c:numCache>
                <c:formatCode>0</c:formatCode>
                <c:ptCount val="8"/>
              </c:numCache>
            </c:numRef>
          </c:val>
          <c:extLst>
            <c:ext xmlns:c16="http://schemas.microsoft.com/office/drawing/2014/chart" uri="{C3380CC4-5D6E-409C-BE32-E72D297353CC}">
              <c16:uniqueId val="{00000000-0F49-E546-B6B0-78AC4B3B93DF}"/>
            </c:ext>
          </c:extLst>
        </c:ser>
        <c:ser>
          <c:idx val="1"/>
          <c:order val="1"/>
          <c:tx>
            <c:strRef>
              <c:f>'16 LOCATION OF HARM'!$A$23</c:f>
              <c:strCache>
                <c:ptCount val="1"/>
                <c:pt idx="0">
                  <c:v>Other private address</c:v>
                </c:pt>
              </c:strCache>
            </c:strRef>
          </c:tx>
          <c:spPr>
            <a:solidFill>
              <a:srgbClr val="2B9C93"/>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'16 LOCATION OF HARM'!$C$21:$AL$21</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'16 LOCATION OF HARM'!$C$23:$J$23</c:f>
              <c:numCache>
                <c:formatCode>0</c:formatCode>
                <c:ptCount val="8"/>
              </c:numCache>
            </c:numRef>
          </c:val>
          <c:extLst>
            <c:ext xmlns:c16="http://schemas.microsoft.com/office/drawing/2014/chart" uri="{C3380CC4-5D6E-409C-BE32-E72D297353CC}">
              <c16:uniqueId val="{00000001-0F49-E546-B6B0-78AC4B3B93DF}"/>
            </c:ext>
          </c:extLst>
        </c:ser>
        <c:ser>
          <c:idx val="2"/>
          <c:order val="2"/>
          <c:tx>
            <c:strRef>
              <c:f>'16 LOCATION OF HARM'!$A$24</c:f>
              <c:strCache>
                <c:ptCount val="1"/>
                <c:pt idx="0">
                  <c:v>Care Home</c:v>
                </c:pt>
              </c:strCache>
            </c:strRef>
          </c:tx>
          <c:spPr>
            <a:solidFill>
              <a:srgbClr val="6A2063"/>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'16 LOCATION OF HARM'!$C$21:$AL$21</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'16 LOCATION OF HARM'!$C$24:$J$24</c:f>
              <c:numCache>
                <c:formatCode>0</c:formatCode>
                <c:ptCount val="8"/>
              </c:numCache>
            </c:numRef>
          </c:val>
          <c:extLst>
            <c:ext xmlns:c16="http://schemas.microsoft.com/office/drawing/2014/chart" uri="{C3380CC4-5D6E-409C-BE32-E72D297353CC}">
              <c16:uniqueId val="{00000002-0F49-E546-B6B0-78AC4B3B93DF}"/>
            </c:ext>
          </c:extLst>
        </c:ser>
        <c:ser>
          <c:idx val="3"/>
          <c:order val="3"/>
          <c:tx>
            <c:strRef>
              <c:f>'16 LOCATION OF HARM'!$A$25</c:f>
              <c:strCache>
                <c:ptCount val="1"/>
                <c:pt idx="0">
                  <c:v>Sheltered housing/other supported accommodation</c:v>
                </c:pt>
              </c:strCache>
            </c:strRef>
          </c:tx>
          <c:spPr>
            <a:solidFill>
              <a:srgbClr val="E5682A"/>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'16 LOCATION OF HARM'!$C$21:$AL$21</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'16 LOCATION OF HARM'!$C$25:$J$25</c:f>
              <c:numCache>
                <c:formatCode>0</c:formatCode>
                <c:ptCount val="8"/>
              </c:numCache>
            </c:numRef>
          </c:val>
          <c:extLst>
            <c:ext xmlns:c16="http://schemas.microsoft.com/office/drawing/2014/chart" uri="{C3380CC4-5D6E-409C-BE32-E72D297353CC}">
              <c16:uniqueId val="{00000003-0F49-E546-B6B0-78AC4B3B93DF}"/>
            </c:ext>
          </c:extLst>
        </c:ser>
        <c:ser>
          <c:idx val="4"/>
          <c:order val="4"/>
          <c:tx>
            <c:strRef>
              <c:f>'16 LOCATION OF HARM'!$A$26</c:f>
              <c:strCache>
                <c:ptCount val="1"/>
                <c:pt idx="0">
                  <c:v>Day Centre</c:v>
                </c:pt>
              </c:strCache>
            </c:strRef>
          </c:tx>
          <c:spPr>
            <a:solidFill>
              <a:srgbClr val="0B4C0B"/>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'16 LOCATION OF HARM'!$C$21:$AL$21</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'16 LOCATION OF HARM'!$C$26:$J$26</c:f>
              <c:numCache>
                <c:formatCode>0</c:formatCode>
                <c:ptCount val="8"/>
              </c:numCache>
            </c:numRef>
          </c:val>
          <c:extLst>
            <c:ext xmlns:c16="http://schemas.microsoft.com/office/drawing/2014/chart" uri="{C3380CC4-5D6E-409C-BE32-E72D297353CC}">
              <c16:uniqueId val="{00000004-0F49-E546-B6B0-78AC4B3B93DF}"/>
            </c:ext>
          </c:extLst>
        </c:ser>
        <c:ser>
          <c:idx val="5"/>
          <c:order val="5"/>
          <c:tx>
            <c:strRef>
              <c:f>'16 LOCATION OF HARM'!$A$27</c:f>
              <c:strCache>
                <c:ptCount val="1"/>
                <c:pt idx="0">
                  <c:v>Public place</c:v>
                </c:pt>
              </c:strCache>
            </c:strRef>
          </c:tx>
          <c:spPr>
            <a:solidFill>
              <a:srgbClr val="5D9F3C"/>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'16 LOCATION OF HARM'!$C$21:$AL$21</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'16 LOCATION OF HARM'!$C$27:$J$27</c:f>
              <c:numCache>
                <c:formatCode>0</c:formatCode>
                <c:ptCount val="8"/>
              </c:numCache>
            </c:numRef>
          </c:val>
          <c:extLst>
            <c:ext xmlns:c16="http://schemas.microsoft.com/office/drawing/2014/chart" uri="{C3380CC4-5D6E-409C-BE32-E72D297353CC}">
              <c16:uniqueId val="{00000005-0F49-E546-B6B0-78AC4B3B93DF}"/>
            </c:ext>
          </c:extLst>
        </c:ser>
        <c:ser>
          <c:idx val="6"/>
          <c:order val="6"/>
          <c:tx>
            <c:strRef>
              <c:f>'16 LOCATION OF HARM'!$A$28</c:f>
              <c:strCache>
                <c:ptCount val="1"/>
                <c:pt idx="0">
                  <c:v>NHS facility</c:v>
                </c:pt>
              </c:strCache>
            </c:strRef>
          </c:tx>
          <c:spPr>
            <a:solidFill>
              <a:srgbClr val="592C20"/>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'16 LOCATION OF HARM'!$C$21:$AL$21</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'16 LOCATION OF HARM'!$C$28:$J$28</c:f>
              <c:numCache>
                <c:formatCode>0</c:formatCode>
                <c:ptCount val="8"/>
              </c:numCache>
            </c:numRef>
          </c:val>
          <c:extLst>
            <c:ext xmlns:c16="http://schemas.microsoft.com/office/drawing/2014/chart" uri="{C3380CC4-5D6E-409C-BE32-E72D297353CC}">
              <c16:uniqueId val="{00000006-0F49-E546-B6B0-78AC4B3B93DF}"/>
            </c:ext>
          </c:extLst>
        </c:ser>
        <c:ser>
          <c:idx val="7"/>
          <c:order val="7"/>
          <c:tx>
            <c:strRef>
              <c:f>'16 LOCATION OF HARM'!$A$29</c:f>
              <c:strCache>
                <c:ptCount val="1"/>
                <c:pt idx="0">
                  <c:v>Independent hospital</c:v>
                </c:pt>
              </c:strCache>
            </c:strRef>
          </c:tx>
          <c:spPr>
            <a:solidFill>
              <a:srgbClr val="CA72A2"/>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'16 LOCATION OF HARM'!$C$21:$AL$21</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'16 LOCATION OF HARM'!$C$29:$J$29</c:f>
              <c:numCache>
                <c:formatCode>0</c:formatCode>
                <c:ptCount val="8"/>
              </c:numCache>
            </c:numRef>
          </c:val>
          <c:extLst>
            <c:ext xmlns:c16="http://schemas.microsoft.com/office/drawing/2014/chart" uri="{C3380CC4-5D6E-409C-BE32-E72D297353CC}">
              <c16:uniqueId val="{00000007-0F49-E546-B6B0-78AC4B3B93DF}"/>
            </c:ext>
          </c:extLst>
        </c:ser>
        <c:ser>
          <c:idx val="8"/>
          <c:order val="8"/>
          <c:tx>
            <c:strRef>
              <c:f>'16 LOCATION OF HARM'!$A$30</c:f>
              <c:strCache>
                <c:ptCount val="1"/>
                <c:pt idx="0">
                  <c:v>Online</c:v>
                </c:pt>
              </c:strCache>
            </c:strRef>
          </c:tx>
          <c:spPr>
            <a:solidFill>
              <a:srgbClr val="B8A400"/>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'16 LOCATION OF HARM'!$C$21:$AL$21</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'16 LOCATION OF HARM'!$C$30:$J$30</c:f>
              <c:numCache>
                <c:formatCode>0</c:formatCode>
                <c:ptCount val="8"/>
              </c:numCache>
            </c:numRef>
          </c:val>
          <c:extLst>
            <c:ext xmlns:c16="http://schemas.microsoft.com/office/drawing/2014/chart" uri="{C3380CC4-5D6E-409C-BE32-E72D297353CC}">
              <c16:uniqueId val="{00000008-0F49-E546-B6B0-78AC4B3B93DF}"/>
            </c:ext>
          </c:extLst>
        </c:ser>
        <c:ser>
          <c:idx val="9"/>
          <c:order val="9"/>
          <c:tx>
            <c:strRef>
              <c:f>'16 LOCATION OF HARM'!$A$31</c:f>
              <c:strCache>
                <c:ptCount val="1"/>
                <c:pt idx="0">
                  <c:v>Other (please specify below)</c:v>
                </c:pt>
              </c:strCache>
            </c:strRef>
          </c:tx>
          <c:spPr>
            <a:solidFill>
              <a:srgbClr val="D32F2F"/>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'16 LOCATION OF HARM'!$C$21:$AL$21</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'16 LOCATION OF HARM'!$C$31:$J$31</c:f>
              <c:numCache>
                <c:formatCode>0</c:formatCode>
                <c:ptCount val="8"/>
              </c:numCache>
            </c:numRef>
          </c:val>
          <c:extLst>
            <c:ext xmlns:c16="http://schemas.microsoft.com/office/drawing/2014/chart" uri="{C3380CC4-5D6E-409C-BE32-E72D297353CC}">
              <c16:uniqueId val="{00000009-0F49-E546-B6B0-78AC4B3B93DF}"/>
            </c:ext>
          </c:extLst>
        </c:ser>
        <c:ser>
          <c:idx val="10"/>
          <c:order val="10"/>
          <c:tx>
            <c:strRef>
              <c:f>'16 LOCATION OF HARM'!$A$32</c:f>
              <c:strCache>
                <c:ptCount val="1"/>
                <c:pt idx="0">
                  <c:v>Not known</c:v>
                </c:pt>
              </c:strCache>
            </c:strRef>
          </c:tx>
          <c:spPr>
            <a:solidFill>
              <a:srgbClr val="3D5A80"/>
            </a:solidFill>
            <a:ln>
              <a:noFill/>
            </a:ln>
            <a:effectLst/>
          </c:spPr>
          <c:invertIfNegative val="0"/>
          <c:dLbls>
            <c:numFmt formatCode="#&quot;&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'16 LOCATION OF HARM'!$C$21:$AL$21</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'16 LOCATION OF HARM'!$C$32:$J$32</c:f>
              <c:numCache>
                <c:formatCode>0</c:formatCode>
                <c:ptCount val="8"/>
              </c:numCache>
            </c:numRef>
          </c:val>
          <c:extLst>
            <c:ext xmlns:c16="http://schemas.microsoft.com/office/drawing/2014/chart" uri="{C3380CC4-5D6E-409C-BE32-E72D297353CC}">
              <c16:uniqueId val="{0000000A-0F49-E546-B6B0-78AC4B3B93DF}"/>
            </c:ext>
          </c:extLst>
        </c:ser>
        <c:dLbls>
          <c:dLblPos val="ctr"/>
          <c:showLegendKey val="0"/>
          <c:showVal val="1"/>
          <c:showCatName val="0"/>
          <c:showSerName val="0"/>
          <c:showPercent val="0"/>
          <c:showBubbleSize val="0"/>
        </c:dLbls>
        <c:gapWidth val="150"/>
        <c:overlap val="100"/>
        <c:axId val="938006368"/>
        <c:axId val="938008080"/>
      </c:barChart>
      <c:catAx>
        <c:axId val="93800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8008080"/>
        <c:crosses val="autoZero"/>
        <c:auto val="1"/>
        <c:lblAlgn val="ctr"/>
        <c:lblOffset val="100"/>
        <c:noMultiLvlLbl val="0"/>
      </c:catAx>
      <c:valAx>
        <c:axId val="9380080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8006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GB">
                <a:solidFill>
                  <a:schemeClr val="accent3">
                    <a:lumMod val="50000"/>
                  </a:schemeClr>
                </a:solidFill>
              </a:rPr>
              <a:t>Inquiries without investigatory powers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lotArea>
      <c:layout/>
      <c:barChart>
        <c:barDir val="col"/>
        <c:grouping val="stacked"/>
        <c:varyColors val="0"/>
        <c:ser>
          <c:idx val="0"/>
          <c:order val="0"/>
          <c:tx>
            <c:strRef>
              <c:f>'17 CLIENT GROUP'!$A$7</c:f>
              <c:strCache>
                <c:ptCount val="1"/>
                <c:pt idx="0">
                  <c:v>Dementia</c:v>
                </c:pt>
              </c:strCache>
            </c:strRef>
          </c:tx>
          <c:spPr>
            <a:solidFill>
              <a:srgbClr val="002D54"/>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 CLIENT GROUP'!$C$6:$AL$6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'17 CLIENT GROUP'!$C$7:$J$7</c:f>
              <c:numCache>
                <c:formatCode>0</c:formatCode>
                <c:ptCount val="8"/>
              </c:numCache>
            </c:numRef>
          </c:val>
          <c:extLst>
            <c:ext xmlns:c16="http://schemas.microsoft.com/office/drawing/2014/chart" uri="{C3380CC4-5D6E-409C-BE32-E72D297353CC}">
              <c16:uniqueId val="{0000000B-6572-684C-955C-AA28D99753A9}"/>
            </c:ext>
          </c:extLst>
        </c:ser>
        <c:ser>
          <c:idx val="1"/>
          <c:order val="1"/>
          <c:tx>
            <c:strRef>
              <c:f>'17 CLIENT GROUP'!$A$8</c:f>
              <c:strCache>
                <c:ptCount val="1"/>
                <c:pt idx="0">
                  <c:v>Mental Health (excl. dementia)</c:v>
                </c:pt>
              </c:strCache>
            </c:strRef>
          </c:tx>
          <c:spPr>
            <a:solidFill>
              <a:srgbClr val="2B9C93"/>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 CLIENT GROUP'!$C$6:$AL$6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'17 CLIENT GROUP'!$C$8:$J$8</c:f>
              <c:numCache>
                <c:formatCode>0</c:formatCode>
                <c:ptCount val="8"/>
              </c:numCache>
            </c:numRef>
          </c:val>
          <c:extLst>
            <c:ext xmlns:c16="http://schemas.microsoft.com/office/drawing/2014/chart" uri="{C3380CC4-5D6E-409C-BE32-E72D297353CC}">
              <c16:uniqueId val="{0000000C-6572-684C-955C-AA28D99753A9}"/>
            </c:ext>
          </c:extLst>
        </c:ser>
        <c:ser>
          <c:idx val="2"/>
          <c:order val="2"/>
          <c:tx>
            <c:strRef>
              <c:f>'17 CLIENT GROUP'!$A$9</c:f>
              <c:strCache>
                <c:ptCount val="1"/>
                <c:pt idx="0">
                  <c:v>Learning Disability</c:v>
                </c:pt>
              </c:strCache>
            </c:strRef>
          </c:tx>
          <c:spPr>
            <a:solidFill>
              <a:srgbClr val="6A2063"/>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 CLIENT GROUP'!$C$6:$AL$6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'17 CLIENT GROUP'!$C$9:$J$9</c:f>
              <c:numCache>
                <c:formatCode>0</c:formatCode>
                <c:ptCount val="8"/>
              </c:numCache>
            </c:numRef>
          </c:val>
          <c:extLst>
            <c:ext xmlns:c16="http://schemas.microsoft.com/office/drawing/2014/chart" uri="{C3380CC4-5D6E-409C-BE32-E72D297353CC}">
              <c16:uniqueId val="{0000000D-6572-684C-955C-AA28D99753A9}"/>
            </c:ext>
          </c:extLst>
        </c:ser>
        <c:ser>
          <c:idx val="3"/>
          <c:order val="3"/>
          <c:tx>
            <c:strRef>
              <c:f>'17 CLIENT GROUP'!$A$10</c:f>
              <c:strCache>
                <c:ptCount val="1"/>
                <c:pt idx="0">
                  <c:v>Autism / Autism spectrum</c:v>
                </c:pt>
              </c:strCache>
            </c:strRef>
          </c:tx>
          <c:spPr>
            <a:solidFill>
              <a:srgbClr val="E5682A"/>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 CLIENT GROUP'!$C$6:$AL$6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'17 CLIENT GROUP'!$C$10:$J$10</c:f>
              <c:numCache>
                <c:formatCode>0</c:formatCode>
                <c:ptCount val="8"/>
              </c:numCache>
            </c:numRef>
          </c:val>
          <c:extLst>
            <c:ext xmlns:c16="http://schemas.microsoft.com/office/drawing/2014/chart" uri="{C3380CC4-5D6E-409C-BE32-E72D297353CC}">
              <c16:uniqueId val="{0000000E-6572-684C-955C-AA28D99753A9}"/>
            </c:ext>
          </c:extLst>
        </c:ser>
        <c:ser>
          <c:idx val="4"/>
          <c:order val="4"/>
          <c:tx>
            <c:strRef>
              <c:f>'17 CLIENT GROUP'!$A$11</c:f>
              <c:strCache>
                <c:ptCount val="1"/>
                <c:pt idx="0">
                  <c:v>Physical Disability</c:v>
                </c:pt>
              </c:strCache>
            </c:strRef>
          </c:tx>
          <c:spPr>
            <a:solidFill>
              <a:srgbClr val="0B4C0B"/>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 CLIENT GROUP'!$C$6:$AL$6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'17 CLIENT GROUP'!$C$11:$J$11</c:f>
              <c:numCache>
                <c:formatCode>0</c:formatCode>
                <c:ptCount val="8"/>
              </c:numCache>
            </c:numRef>
          </c:val>
          <c:extLst>
            <c:ext xmlns:c16="http://schemas.microsoft.com/office/drawing/2014/chart" uri="{C3380CC4-5D6E-409C-BE32-E72D297353CC}">
              <c16:uniqueId val="{0000000F-6572-684C-955C-AA28D99753A9}"/>
            </c:ext>
          </c:extLst>
        </c:ser>
        <c:ser>
          <c:idx val="5"/>
          <c:order val="5"/>
          <c:tx>
            <c:strRef>
              <c:f>'17 CLIENT GROUP'!$A$12</c:f>
              <c:strCache>
                <c:ptCount val="1"/>
                <c:pt idx="0">
                  <c:v>Infirmity/frailty due to age</c:v>
                </c:pt>
              </c:strCache>
            </c:strRef>
          </c:tx>
          <c:spPr>
            <a:solidFill>
              <a:srgbClr val="5D9F3C"/>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 CLIENT GROUP'!$C$6:$AL$6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'17 CLIENT GROUP'!$C$12:$J$12</c:f>
              <c:numCache>
                <c:formatCode>0</c:formatCode>
                <c:ptCount val="8"/>
              </c:numCache>
            </c:numRef>
          </c:val>
          <c:extLst>
            <c:ext xmlns:c16="http://schemas.microsoft.com/office/drawing/2014/chart" uri="{C3380CC4-5D6E-409C-BE32-E72D297353CC}">
              <c16:uniqueId val="{00000010-6572-684C-955C-AA28D99753A9}"/>
            </c:ext>
          </c:extLst>
        </c:ser>
        <c:ser>
          <c:idx val="6"/>
          <c:order val="6"/>
          <c:tx>
            <c:strRef>
              <c:f>'17 CLIENT GROUP'!$A$13</c:f>
              <c:strCache>
                <c:ptCount val="1"/>
                <c:pt idx="0">
                  <c:v>Palliative care</c:v>
                </c:pt>
              </c:strCache>
            </c:strRef>
          </c:tx>
          <c:spPr>
            <a:solidFill>
              <a:srgbClr val="592C20"/>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 CLIENT GROUP'!$C$6:$AL$6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'17 CLIENT GROUP'!$C$13:$J$13</c:f>
              <c:numCache>
                <c:formatCode>0</c:formatCode>
                <c:ptCount val="8"/>
              </c:numCache>
            </c:numRef>
          </c:val>
          <c:extLst>
            <c:ext xmlns:c16="http://schemas.microsoft.com/office/drawing/2014/chart" uri="{C3380CC4-5D6E-409C-BE32-E72D297353CC}">
              <c16:uniqueId val="{00000011-6572-684C-955C-AA28D99753A9}"/>
            </c:ext>
          </c:extLst>
        </c:ser>
        <c:ser>
          <c:idx val="7"/>
          <c:order val="7"/>
          <c:tx>
            <c:strRef>
              <c:f>'17 CLIENT GROUP'!$A$14</c:f>
              <c:strCache>
                <c:ptCount val="1"/>
                <c:pt idx="0">
                  <c:v>Acquired brain injury</c:v>
                </c:pt>
              </c:strCache>
            </c:strRef>
          </c:tx>
          <c:spPr>
            <a:solidFill>
              <a:srgbClr val="CA72A2"/>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 CLIENT GROUP'!$C$6:$AL$6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'17 CLIENT GROUP'!$C$13:$J$13</c:f>
              <c:numCache>
                <c:formatCode>0</c:formatCode>
                <c:ptCount val="8"/>
              </c:numCache>
            </c:numRef>
          </c:val>
          <c:extLst>
            <c:ext xmlns:c16="http://schemas.microsoft.com/office/drawing/2014/chart" uri="{C3380CC4-5D6E-409C-BE32-E72D297353CC}">
              <c16:uniqueId val="{00000012-6572-684C-955C-AA28D99753A9}"/>
            </c:ext>
          </c:extLst>
        </c:ser>
        <c:ser>
          <c:idx val="8"/>
          <c:order val="8"/>
          <c:tx>
            <c:strRef>
              <c:f>'17 CLIENT GROUP'!$A$15</c:f>
              <c:strCache>
                <c:ptCount val="1"/>
                <c:pt idx="0">
                  <c:v>Alcohol-related brain damage</c:v>
                </c:pt>
              </c:strCache>
            </c:strRef>
          </c:tx>
          <c:spPr>
            <a:solidFill>
              <a:srgbClr val="B8A400"/>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 CLIENT GROUP'!$C$6:$AL$6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'17 CLIENT GROUP'!$C$15:$J$15</c:f>
              <c:numCache>
                <c:formatCode>0</c:formatCode>
                <c:ptCount val="8"/>
              </c:numCache>
            </c:numRef>
          </c:val>
          <c:extLst>
            <c:ext xmlns:c16="http://schemas.microsoft.com/office/drawing/2014/chart" uri="{C3380CC4-5D6E-409C-BE32-E72D297353CC}">
              <c16:uniqueId val="{00000013-6572-684C-955C-AA28D99753A9}"/>
            </c:ext>
          </c:extLst>
        </c:ser>
        <c:ser>
          <c:idx val="9"/>
          <c:order val="9"/>
          <c:tx>
            <c:strRef>
              <c:f>'17 CLIENT GROUP'!$A$16</c:f>
              <c:strCache>
                <c:ptCount val="1"/>
                <c:pt idx="0">
                  <c:v>Substance misuse/addiction</c:v>
                </c:pt>
              </c:strCache>
            </c:strRef>
          </c:tx>
          <c:spPr>
            <a:solidFill>
              <a:srgbClr val="D32F2F"/>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 CLIENT GROUP'!$C$6:$AL$6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'17 CLIENT GROUP'!$C$16:$J$16</c:f>
              <c:numCache>
                <c:formatCode>0</c:formatCode>
                <c:ptCount val="8"/>
              </c:numCache>
            </c:numRef>
          </c:val>
          <c:extLst>
            <c:ext xmlns:c16="http://schemas.microsoft.com/office/drawing/2014/chart" uri="{C3380CC4-5D6E-409C-BE32-E72D297353CC}">
              <c16:uniqueId val="{00000014-6572-684C-955C-AA28D99753A9}"/>
            </c:ext>
          </c:extLst>
        </c:ser>
        <c:ser>
          <c:idx val="10"/>
          <c:order val="10"/>
          <c:tx>
            <c:strRef>
              <c:f>'17 CLIENT GROUP'!$A$17</c:f>
              <c:strCache>
                <c:ptCount val="1"/>
                <c:pt idx="0">
                  <c:v>Other (please specify below)</c:v>
                </c:pt>
              </c:strCache>
            </c:strRef>
          </c:tx>
          <c:spPr>
            <a:solidFill>
              <a:srgbClr val="3D5A80"/>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 CLIENT GROUP'!$C$6:$AL$6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'17 CLIENT GROUP'!$C$17:$J$17</c:f>
              <c:numCache>
                <c:formatCode>0</c:formatCode>
                <c:ptCount val="8"/>
              </c:numCache>
            </c:numRef>
          </c:val>
          <c:extLst>
            <c:ext xmlns:c16="http://schemas.microsoft.com/office/drawing/2014/chart" uri="{C3380CC4-5D6E-409C-BE32-E72D297353CC}">
              <c16:uniqueId val="{00000015-6572-684C-955C-AA28D99753A9}"/>
            </c:ext>
          </c:extLst>
        </c:ser>
        <c:dLbls>
          <c:dLblPos val="ctr"/>
          <c:showLegendKey val="0"/>
          <c:showVal val="1"/>
          <c:showCatName val="0"/>
          <c:showSerName val="0"/>
          <c:showPercent val="0"/>
          <c:showBubbleSize val="0"/>
        </c:dLbls>
        <c:gapWidth val="150"/>
        <c:overlap val="100"/>
        <c:axId val="1559133968"/>
        <c:axId val="50242191"/>
      </c:barChart>
      <c:catAx>
        <c:axId val="155913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242191"/>
        <c:crosses val="autoZero"/>
        <c:auto val="1"/>
        <c:lblAlgn val="ctr"/>
        <c:lblOffset val="100"/>
        <c:noMultiLvlLbl val="0"/>
      </c:catAx>
      <c:valAx>
        <c:axId val="502421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59133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GB">
                <a:solidFill>
                  <a:schemeClr val="accent3">
                    <a:lumMod val="50000"/>
                  </a:schemeClr>
                </a:solidFill>
              </a:rPr>
              <a:t>Inquiries with investigatory powers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lotArea>
      <c:layout/>
      <c:barChart>
        <c:barDir val="col"/>
        <c:grouping val="stacked"/>
        <c:varyColors val="0"/>
        <c:ser>
          <c:idx val="0"/>
          <c:order val="0"/>
          <c:tx>
            <c:strRef>
              <c:f>'17 CLIENT GROUP'!$A$22</c:f>
              <c:strCache>
                <c:ptCount val="1"/>
                <c:pt idx="0">
                  <c:v>Dementia</c:v>
                </c:pt>
              </c:strCache>
            </c:strRef>
          </c:tx>
          <c:spPr>
            <a:solidFill>
              <a:srgbClr val="002D54"/>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 CLIENT GROUP'!$C$21:$AL$21</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'17 CLIENT GROUP'!$C$22:$J$22</c:f>
              <c:numCache>
                <c:formatCode>0</c:formatCode>
                <c:ptCount val="8"/>
              </c:numCache>
            </c:numRef>
          </c:val>
          <c:extLst>
            <c:ext xmlns:c16="http://schemas.microsoft.com/office/drawing/2014/chart" uri="{C3380CC4-5D6E-409C-BE32-E72D297353CC}">
              <c16:uniqueId val="{00000000-0F93-1C42-96C3-2E4CF26BF884}"/>
            </c:ext>
          </c:extLst>
        </c:ser>
        <c:ser>
          <c:idx val="1"/>
          <c:order val="1"/>
          <c:tx>
            <c:strRef>
              <c:f>'17 CLIENT GROUP'!$A$23</c:f>
              <c:strCache>
                <c:ptCount val="1"/>
                <c:pt idx="0">
                  <c:v>Mental Health (excl. dementia)</c:v>
                </c:pt>
              </c:strCache>
            </c:strRef>
          </c:tx>
          <c:spPr>
            <a:solidFill>
              <a:srgbClr val="2B9C93"/>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 CLIENT GROUP'!$C$21:$AL$21</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'17 CLIENT GROUP'!$C$23:$J$23</c:f>
              <c:numCache>
                <c:formatCode>0</c:formatCode>
                <c:ptCount val="8"/>
              </c:numCache>
            </c:numRef>
          </c:val>
          <c:extLst>
            <c:ext xmlns:c16="http://schemas.microsoft.com/office/drawing/2014/chart" uri="{C3380CC4-5D6E-409C-BE32-E72D297353CC}">
              <c16:uniqueId val="{00000001-0F93-1C42-96C3-2E4CF26BF884}"/>
            </c:ext>
          </c:extLst>
        </c:ser>
        <c:ser>
          <c:idx val="2"/>
          <c:order val="2"/>
          <c:tx>
            <c:strRef>
              <c:f>'17 CLIENT GROUP'!$A$24</c:f>
              <c:strCache>
                <c:ptCount val="1"/>
                <c:pt idx="0">
                  <c:v>Learning Disability</c:v>
                </c:pt>
              </c:strCache>
            </c:strRef>
          </c:tx>
          <c:spPr>
            <a:solidFill>
              <a:srgbClr val="6A2063"/>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 CLIENT GROUP'!$C$21:$AL$21</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'17 CLIENT GROUP'!$C$24:$J$24</c:f>
              <c:numCache>
                <c:formatCode>0</c:formatCode>
                <c:ptCount val="8"/>
              </c:numCache>
            </c:numRef>
          </c:val>
          <c:extLst>
            <c:ext xmlns:c16="http://schemas.microsoft.com/office/drawing/2014/chart" uri="{C3380CC4-5D6E-409C-BE32-E72D297353CC}">
              <c16:uniqueId val="{00000002-0F93-1C42-96C3-2E4CF26BF884}"/>
            </c:ext>
          </c:extLst>
        </c:ser>
        <c:ser>
          <c:idx val="3"/>
          <c:order val="3"/>
          <c:tx>
            <c:strRef>
              <c:f>'17 CLIENT GROUP'!$A$25</c:f>
              <c:strCache>
                <c:ptCount val="1"/>
                <c:pt idx="0">
                  <c:v>Autism/ Autism spectrum</c:v>
                </c:pt>
              </c:strCache>
            </c:strRef>
          </c:tx>
          <c:spPr>
            <a:solidFill>
              <a:srgbClr val="E5682A"/>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 CLIENT GROUP'!$C$21:$AL$21</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'17 CLIENT GROUP'!$C$25:$J$25</c:f>
              <c:numCache>
                <c:formatCode>0</c:formatCode>
                <c:ptCount val="8"/>
              </c:numCache>
            </c:numRef>
          </c:val>
          <c:extLst>
            <c:ext xmlns:c16="http://schemas.microsoft.com/office/drawing/2014/chart" uri="{C3380CC4-5D6E-409C-BE32-E72D297353CC}">
              <c16:uniqueId val="{00000003-0F93-1C42-96C3-2E4CF26BF884}"/>
            </c:ext>
          </c:extLst>
        </c:ser>
        <c:ser>
          <c:idx val="4"/>
          <c:order val="4"/>
          <c:tx>
            <c:strRef>
              <c:f>'17 CLIENT GROUP'!$A$26</c:f>
              <c:strCache>
                <c:ptCount val="1"/>
                <c:pt idx="0">
                  <c:v>Physical Disability</c:v>
                </c:pt>
              </c:strCache>
            </c:strRef>
          </c:tx>
          <c:spPr>
            <a:solidFill>
              <a:srgbClr val="0B4C0B"/>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 CLIENT GROUP'!$C$21:$AL$21</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'17 CLIENT GROUP'!$C$26:$J$26</c:f>
              <c:numCache>
                <c:formatCode>0</c:formatCode>
                <c:ptCount val="8"/>
              </c:numCache>
            </c:numRef>
          </c:val>
          <c:extLst>
            <c:ext xmlns:c16="http://schemas.microsoft.com/office/drawing/2014/chart" uri="{C3380CC4-5D6E-409C-BE32-E72D297353CC}">
              <c16:uniqueId val="{00000004-0F93-1C42-96C3-2E4CF26BF884}"/>
            </c:ext>
          </c:extLst>
        </c:ser>
        <c:ser>
          <c:idx val="5"/>
          <c:order val="5"/>
          <c:tx>
            <c:strRef>
              <c:f>'17 CLIENT GROUP'!$A$27</c:f>
              <c:strCache>
                <c:ptCount val="1"/>
                <c:pt idx="0">
                  <c:v>Infirmity/frailty due to age</c:v>
                </c:pt>
              </c:strCache>
            </c:strRef>
          </c:tx>
          <c:spPr>
            <a:solidFill>
              <a:srgbClr val="5D9F3C"/>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 CLIENT GROUP'!$C$21:$AL$21</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'17 CLIENT GROUP'!$C$27:$J$27</c:f>
              <c:numCache>
                <c:formatCode>0</c:formatCode>
                <c:ptCount val="8"/>
              </c:numCache>
            </c:numRef>
          </c:val>
          <c:extLst>
            <c:ext xmlns:c16="http://schemas.microsoft.com/office/drawing/2014/chart" uri="{C3380CC4-5D6E-409C-BE32-E72D297353CC}">
              <c16:uniqueId val="{00000005-0F93-1C42-96C3-2E4CF26BF884}"/>
            </c:ext>
          </c:extLst>
        </c:ser>
        <c:ser>
          <c:idx val="6"/>
          <c:order val="6"/>
          <c:tx>
            <c:strRef>
              <c:f>'17 CLIENT GROUP'!$A$28</c:f>
              <c:strCache>
                <c:ptCount val="1"/>
                <c:pt idx="0">
                  <c:v>Palliative care</c:v>
                </c:pt>
              </c:strCache>
            </c:strRef>
          </c:tx>
          <c:spPr>
            <a:solidFill>
              <a:srgbClr val="592C20"/>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 CLIENT GROUP'!$C$21:$AL$21</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'17 CLIENT GROUP'!$C$28:$J$28</c:f>
              <c:numCache>
                <c:formatCode>0</c:formatCode>
                <c:ptCount val="8"/>
              </c:numCache>
            </c:numRef>
          </c:val>
          <c:extLst>
            <c:ext xmlns:c16="http://schemas.microsoft.com/office/drawing/2014/chart" uri="{C3380CC4-5D6E-409C-BE32-E72D297353CC}">
              <c16:uniqueId val="{00000006-0F93-1C42-96C3-2E4CF26BF884}"/>
            </c:ext>
          </c:extLst>
        </c:ser>
        <c:ser>
          <c:idx val="7"/>
          <c:order val="7"/>
          <c:tx>
            <c:strRef>
              <c:f>'17 CLIENT GROUP'!$A$29</c:f>
              <c:strCache>
                <c:ptCount val="1"/>
                <c:pt idx="0">
                  <c:v>Acquired brain injury</c:v>
                </c:pt>
              </c:strCache>
            </c:strRef>
          </c:tx>
          <c:spPr>
            <a:solidFill>
              <a:srgbClr val="CA72A2"/>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 CLIENT GROUP'!$C$21:$AL$21</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'17 CLIENT GROUP'!$C$29:$J$29</c:f>
              <c:numCache>
                <c:formatCode>0</c:formatCode>
                <c:ptCount val="8"/>
              </c:numCache>
            </c:numRef>
          </c:val>
          <c:extLst>
            <c:ext xmlns:c16="http://schemas.microsoft.com/office/drawing/2014/chart" uri="{C3380CC4-5D6E-409C-BE32-E72D297353CC}">
              <c16:uniqueId val="{00000007-0F93-1C42-96C3-2E4CF26BF884}"/>
            </c:ext>
          </c:extLst>
        </c:ser>
        <c:ser>
          <c:idx val="8"/>
          <c:order val="8"/>
          <c:tx>
            <c:strRef>
              <c:f>'17 CLIENT GROUP'!$A$30</c:f>
              <c:strCache>
                <c:ptCount val="1"/>
                <c:pt idx="0">
                  <c:v>Alcohol-related brain damage</c:v>
                </c:pt>
              </c:strCache>
            </c:strRef>
          </c:tx>
          <c:spPr>
            <a:solidFill>
              <a:srgbClr val="B8A400"/>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 CLIENT GROUP'!$C$21:$AL$21</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'17 CLIENT GROUP'!$C$30:$J$30</c:f>
              <c:numCache>
                <c:formatCode>0</c:formatCode>
                <c:ptCount val="8"/>
              </c:numCache>
            </c:numRef>
          </c:val>
          <c:extLst>
            <c:ext xmlns:c16="http://schemas.microsoft.com/office/drawing/2014/chart" uri="{C3380CC4-5D6E-409C-BE32-E72D297353CC}">
              <c16:uniqueId val="{00000008-0F93-1C42-96C3-2E4CF26BF884}"/>
            </c:ext>
          </c:extLst>
        </c:ser>
        <c:ser>
          <c:idx val="9"/>
          <c:order val="9"/>
          <c:tx>
            <c:strRef>
              <c:f>'17 CLIENT GROUP'!$A$31</c:f>
              <c:strCache>
                <c:ptCount val="1"/>
                <c:pt idx="0">
                  <c:v>Substance misuse/addiction</c:v>
                </c:pt>
              </c:strCache>
            </c:strRef>
          </c:tx>
          <c:spPr>
            <a:solidFill>
              <a:srgbClr val="D32F2F"/>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 CLIENT GROUP'!$C$21:$AL$21</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'17 CLIENT GROUP'!$C$31:$J$31</c:f>
              <c:numCache>
                <c:formatCode>0</c:formatCode>
                <c:ptCount val="8"/>
              </c:numCache>
            </c:numRef>
          </c:val>
          <c:extLst>
            <c:ext xmlns:c16="http://schemas.microsoft.com/office/drawing/2014/chart" uri="{C3380CC4-5D6E-409C-BE32-E72D297353CC}">
              <c16:uniqueId val="{00000009-0F93-1C42-96C3-2E4CF26BF884}"/>
            </c:ext>
          </c:extLst>
        </c:ser>
        <c:ser>
          <c:idx val="10"/>
          <c:order val="10"/>
          <c:tx>
            <c:strRef>
              <c:f>'17 CLIENT GROUP'!$A$32</c:f>
              <c:strCache>
                <c:ptCount val="1"/>
                <c:pt idx="0">
                  <c:v>Other (please specify below)</c:v>
                </c:pt>
              </c:strCache>
            </c:strRef>
          </c:tx>
          <c:spPr>
            <a:solidFill>
              <a:srgbClr val="3D5A80"/>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 CLIENT GROUP'!$C$21:$AL$21</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'17 CLIENT GROUP'!$C$32:$J$32</c:f>
              <c:numCache>
                <c:formatCode>0</c:formatCode>
                <c:ptCount val="8"/>
              </c:numCache>
            </c:numRef>
          </c:val>
          <c:extLst>
            <c:ext xmlns:c16="http://schemas.microsoft.com/office/drawing/2014/chart" uri="{C3380CC4-5D6E-409C-BE32-E72D297353CC}">
              <c16:uniqueId val="{0000000A-0F93-1C42-96C3-2E4CF26BF884}"/>
            </c:ext>
          </c:extLst>
        </c:ser>
        <c:dLbls>
          <c:dLblPos val="ctr"/>
          <c:showLegendKey val="0"/>
          <c:showVal val="1"/>
          <c:showCatName val="0"/>
          <c:showSerName val="0"/>
          <c:showPercent val="0"/>
          <c:showBubbleSize val="0"/>
        </c:dLbls>
        <c:gapWidth val="150"/>
        <c:overlap val="100"/>
        <c:axId val="1826614239"/>
        <c:axId val="1826444383"/>
      </c:barChart>
      <c:catAx>
        <c:axId val="182661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26444383"/>
        <c:crosses val="autoZero"/>
        <c:auto val="1"/>
        <c:lblAlgn val="ctr"/>
        <c:lblOffset val="100"/>
        <c:noMultiLvlLbl val="0"/>
      </c:catAx>
      <c:valAx>
        <c:axId val="18264443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26614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GB">
                <a:solidFill>
                  <a:schemeClr val="accent3">
                    <a:lumMod val="50000"/>
                  </a:schemeClr>
                </a:solidFill>
              </a:rPr>
              <a:t>Inquiries</a:t>
            </a:r>
            <a:r>
              <a:rPr lang="en-GB" baseline="0">
                <a:solidFill>
                  <a:schemeClr val="accent3">
                    <a:lumMod val="50000"/>
                  </a:schemeClr>
                </a:solidFill>
              </a:rPr>
              <a:t> where the adult had caring responsibilites</a:t>
            </a:r>
            <a:endParaRPr lang="en-GB">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GB"/>
        </a:p>
      </c:txPr>
    </c:title>
    <c:autoTitleDeleted val="0"/>
    <c:plotArea>
      <c:layout/>
      <c:barChart>
        <c:barDir val="col"/>
        <c:grouping val="clustered"/>
        <c:varyColors val="0"/>
        <c:ser>
          <c:idx val="0"/>
          <c:order val="0"/>
          <c:tx>
            <c:strRef>
              <c:f>'18 CARING RESPONSIBILITIES'!$A$7</c:f>
              <c:strCache>
                <c:ptCount val="1"/>
                <c:pt idx="0">
                  <c:v>Number of inquiries where adult at risk has child care responsibilities</c:v>
                </c:pt>
              </c:strCache>
            </c:strRef>
          </c:tx>
          <c:spPr>
            <a:solidFill>
              <a:srgbClr val="002D54"/>
            </a:solidFill>
            <a:ln>
              <a:solidFill>
                <a:schemeClr val="bg1"/>
              </a:solidFill>
            </a:ln>
            <a:effectLst/>
          </c:spPr>
          <c:invertIfNegative val="0"/>
          <c:cat>
            <c:strRef>
              <c:f>'18 CARING RESPONSIBILITIES'!$C$6:$AL$6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'18 CARING RESPONSIBILITIES'!$C$7:$J$7</c:f>
              <c:numCache>
                <c:formatCode>0</c:formatCode>
                <c:ptCount val="8"/>
              </c:numCache>
            </c:numRef>
          </c:val>
          <c:extLst>
            <c:ext xmlns:c16="http://schemas.microsoft.com/office/drawing/2014/chart" uri="{C3380CC4-5D6E-409C-BE32-E72D297353CC}">
              <c16:uniqueId val="{00000000-36EE-534C-BD98-792D7D0A9BD8}"/>
            </c:ext>
          </c:extLst>
        </c:ser>
        <c:ser>
          <c:idx val="1"/>
          <c:order val="1"/>
          <c:tx>
            <c:strRef>
              <c:f>'18 CARING RESPONSIBILITIES'!$A$8</c:f>
              <c:strCache>
                <c:ptCount val="1"/>
                <c:pt idx="0">
                  <c:v>Number of inquiries where adult at risk has caring responsibilities for other adults</c:v>
                </c:pt>
              </c:strCache>
            </c:strRef>
          </c:tx>
          <c:spPr>
            <a:solidFill>
              <a:srgbClr val="2B9C93"/>
            </a:solidFill>
            <a:ln>
              <a:solidFill>
                <a:schemeClr val="bg1"/>
              </a:solidFill>
            </a:ln>
            <a:effectLst/>
          </c:spPr>
          <c:invertIfNegative val="0"/>
          <c:cat>
            <c:strRef>
              <c:f>'18 CARING RESPONSIBILITIES'!$C$6:$AL$6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'18 CARING RESPONSIBILITIES'!$C$8:$J$8</c:f>
              <c:numCache>
                <c:formatCode>0</c:formatCode>
                <c:ptCount val="8"/>
              </c:numCache>
            </c:numRef>
          </c:val>
          <c:extLst>
            <c:ext xmlns:c16="http://schemas.microsoft.com/office/drawing/2014/chart" uri="{C3380CC4-5D6E-409C-BE32-E72D297353CC}">
              <c16:uniqueId val="{00000001-36EE-534C-BD98-792D7D0A9BD8}"/>
            </c:ext>
          </c:extLst>
        </c:ser>
        <c:ser>
          <c:idx val="2"/>
          <c:order val="2"/>
          <c:tx>
            <c:strRef>
              <c:f>'18 CARING RESPONSIBILITIES'!$A$12</c:f>
              <c:strCache>
                <c:ptCount val="1"/>
                <c:pt idx="0">
                  <c:v>Number of cases where a child was present at the incident</c:v>
                </c:pt>
              </c:strCache>
            </c:strRef>
          </c:tx>
          <c:spPr>
            <a:solidFill>
              <a:srgbClr val="6A2063"/>
            </a:solidFill>
            <a:ln>
              <a:solidFill>
                <a:schemeClr val="bg1"/>
              </a:solidFill>
            </a:ln>
            <a:effectLst/>
          </c:spPr>
          <c:invertIfNegative val="0"/>
          <c:cat>
            <c:strRef>
              <c:f>'18 CARING RESPONSIBILITIES'!$C$6:$AL$6</c:f>
              <c:strCache>
                <c:ptCount val="36"/>
                <c:pt idx="0">
                  <c:v>Q1 2023/24</c:v>
                </c:pt>
                <c:pt idx="1">
                  <c:v>Q2 2023/24</c:v>
                </c:pt>
                <c:pt idx="2">
                  <c:v>Q3 2023/24</c:v>
                </c:pt>
                <c:pt idx="3">
                  <c:v>Q4 2023/24</c:v>
                </c:pt>
                <c:pt idx="4">
                  <c:v>Q1 2024/25</c:v>
                </c:pt>
                <c:pt idx="5">
                  <c:v>Q2 2024/25</c:v>
                </c:pt>
                <c:pt idx="6">
                  <c:v>Q3 2024/25</c:v>
                </c:pt>
                <c:pt idx="7">
                  <c:v>Q4 2024/25</c:v>
                </c:pt>
                <c:pt idx="8">
                  <c:v>Q1 2025/26</c:v>
                </c:pt>
                <c:pt idx="9">
                  <c:v>Q2 2025/26</c:v>
                </c:pt>
                <c:pt idx="10">
                  <c:v>Q3 2025/26</c:v>
                </c:pt>
                <c:pt idx="11">
                  <c:v>Q4 2025/26</c:v>
                </c:pt>
                <c:pt idx="12">
                  <c:v>Q1 2026/27</c:v>
                </c:pt>
                <c:pt idx="13">
                  <c:v>Q2 2026/27</c:v>
                </c:pt>
                <c:pt idx="14">
                  <c:v>Q3 2026/27</c:v>
                </c:pt>
                <c:pt idx="15">
                  <c:v>Q4 2026/27</c:v>
                </c:pt>
                <c:pt idx="16">
                  <c:v>Q1 2027/28</c:v>
                </c:pt>
                <c:pt idx="17">
                  <c:v>Q2  2027/28</c:v>
                </c:pt>
                <c:pt idx="18">
                  <c:v>Q3  2027/28</c:v>
                </c:pt>
                <c:pt idx="19">
                  <c:v>Q4  2027/28</c:v>
                </c:pt>
                <c:pt idx="20">
                  <c:v>Q1 2028/29</c:v>
                </c:pt>
                <c:pt idx="21">
                  <c:v>Q2  2028/29</c:v>
                </c:pt>
                <c:pt idx="22">
                  <c:v>Q3  2028/29</c:v>
                </c:pt>
                <c:pt idx="23">
                  <c:v>Q4  2028/29</c:v>
                </c:pt>
                <c:pt idx="24">
                  <c:v>Q1  2029/30</c:v>
                </c:pt>
                <c:pt idx="25">
                  <c:v>Q2  2029/30</c:v>
                </c:pt>
                <c:pt idx="26">
                  <c:v>Q3  2029/30</c:v>
                </c:pt>
                <c:pt idx="27">
                  <c:v>Q4  2029/30</c:v>
                </c:pt>
                <c:pt idx="28">
                  <c:v>Q1  2030/31</c:v>
                </c:pt>
                <c:pt idx="29">
                  <c:v>Q2  2030/31</c:v>
                </c:pt>
                <c:pt idx="30">
                  <c:v>Q3  2030/31</c:v>
                </c:pt>
                <c:pt idx="31">
                  <c:v>Q4  2030/31</c:v>
                </c:pt>
                <c:pt idx="32">
                  <c:v>Q1  2031/32</c:v>
                </c:pt>
                <c:pt idx="33">
                  <c:v>Q2  2031/32</c:v>
                </c:pt>
                <c:pt idx="34">
                  <c:v>Q3  2031/32</c:v>
                </c:pt>
                <c:pt idx="35">
                  <c:v>Q4  2031/32</c:v>
                </c:pt>
              </c:strCache>
            </c:strRef>
          </c:cat>
          <c:val>
            <c:numRef>
              <c:f>'18 CARING RESPONSIBILITIES'!$C$12:$J$12</c:f>
              <c:numCache>
                <c:formatCode>0</c:formatCode>
                <c:ptCount val="8"/>
              </c:numCache>
            </c:numRef>
          </c:val>
          <c:extLst>
            <c:ext xmlns:c16="http://schemas.microsoft.com/office/drawing/2014/chart" uri="{C3380CC4-5D6E-409C-BE32-E72D297353CC}">
              <c16:uniqueId val="{00000002-36EE-534C-BD98-792D7D0A9BD8}"/>
            </c:ext>
          </c:extLst>
        </c:ser>
        <c:dLbls>
          <c:showLegendKey val="0"/>
          <c:showVal val="0"/>
          <c:showCatName val="0"/>
          <c:showSerName val="0"/>
          <c:showPercent val="0"/>
          <c:showBubbleSize val="0"/>
        </c:dLbls>
        <c:gapWidth val="150"/>
        <c:axId val="226068271"/>
        <c:axId val="332276031"/>
      </c:barChart>
      <c:catAx>
        <c:axId val="22606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32276031"/>
        <c:crossesAt val="0"/>
        <c:auto val="1"/>
        <c:lblAlgn val="ctr"/>
        <c:lblOffset val="100"/>
        <c:noMultiLvlLbl val="0"/>
      </c:catAx>
      <c:valAx>
        <c:axId val="3322760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26068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GB">
                <a:solidFill>
                  <a:schemeClr val="accent3">
                    <a:lumMod val="50000"/>
                  </a:schemeClr>
                </a:solidFill>
              </a:rPr>
              <a:t>Large</a:t>
            </a:r>
            <a:r>
              <a:rPr lang="en-GB" baseline="0">
                <a:solidFill>
                  <a:schemeClr val="accent3">
                    <a:lumMod val="50000"/>
                  </a:schemeClr>
                </a:solidFill>
              </a:rPr>
              <a:t> Scale Investigations (LSIs) by service type</a:t>
            </a:r>
            <a:endParaRPr lang="en-GB">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GB"/>
        </a:p>
      </c:txPr>
    </c:title>
    <c:autoTitleDeleted val="0"/>
    <c:plotArea>
      <c:layout/>
      <c:barChart>
        <c:barDir val="col"/>
        <c:grouping val="stacked"/>
        <c:varyColors val="0"/>
        <c:ser>
          <c:idx val="0"/>
          <c:order val="0"/>
          <c:tx>
            <c:v>Care Homes</c:v>
          </c:tx>
          <c:spPr>
            <a:solidFill>
              <a:srgbClr val="002D54"/>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'19 LSIs'!$C$7:$J$7</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'19 LSIs'!$C$8:$J$8</c:f>
              <c:numCache>
                <c:formatCode>0</c:formatCode>
                <c:ptCount val="8"/>
              </c:numCache>
            </c:numRef>
          </c:val>
          <c:extLst>
            <c:ext xmlns:c16="http://schemas.microsoft.com/office/drawing/2014/chart" uri="{C3380CC4-5D6E-409C-BE32-E72D297353CC}">
              <c16:uniqueId val="{00000000-5E77-3D4B-994F-7988A22E367C}"/>
            </c:ext>
          </c:extLst>
        </c:ser>
        <c:ser>
          <c:idx val="1"/>
          <c:order val="1"/>
          <c:tx>
            <c:v>Support services</c:v>
          </c:tx>
          <c:spPr>
            <a:solidFill>
              <a:srgbClr val="2B9C93"/>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'19 LSIs'!$C$7:$J$7</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'19 LSIs'!$C$9:$J$9</c:f>
              <c:numCache>
                <c:formatCode>0</c:formatCode>
                <c:ptCount val="8"/>
              </c:numCache>
            </c:numRef>
          </c:val>
          <c:extLst>
            <c:ext xmlns:c16="http://schemas.microsoft.com/office/drawing/2014/chart" uri="{C3380CC4-5D6E-409C-BE32-E72D297353CC}">
              <c16:uniqueId val="{00000001-5E77-3D4B-994F-7988A22E367C}"/>
            </c:ext>
          </c:extLst>
        </c:ser>
        <c:ser>
          <c:idx val="2"/>
          <c:order val="2"/>
          <c:tx>
            <c:v>NHS Hospital</c:v>
          </c:tx>
          <c:spPr>
            <a:solidFill>
              <a:srgbClr val="6A2063"/>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'19 LSIs'!$C$7:$J$7</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'19 LSIs'!$C$10:$J$10</c:f>
              <c:numCache>
                <c:formatCode>0</c:formatCode>
                <c:ptCount val="8"/>
              </c:numCache>
            </c:numRef>
          </c:val>
          <c:extLst>
            <c:ext xmlns:c16="http://schemas.microsoft.com/office/drawing/2014/chart" uri="{C3380CC4-5D6E-409C-BE32-E72D297353CC}">
              <c16:uniqueId val="{00000002-5E77-3D4B-994F-7988A22E367C}"/>
            </c:ext>
          </c:extLst>
        </c:ser>
        <c:ser>
          <c:idx val="3"/>
          <c:order val="3"/>
          <c:tx>
            <c:v>NHS Primary Care</c:v>
          </c:tx>
          <c:spPr>
            <a:solidFill>
              <a:srgbClr val="E5682A"/>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'19 LSIs'!$C$7:$J$7</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'19 LSIs'!$C$11:$J$11</c:f>
              <c:numCache>
                <c:formatCode>0</c:formatCode>
                <c:ptCount val="8"/>
              </c:numCache>
            </c:numRef>
          </c:val>
          <c:extLst>
            <c:ext xmlns:c16="http://schemas.microsoft.com/office/drawing/2014/chart" uri="{C3380CC4-5D6E-409C-BE32-E72D297353CC}">
              <c16:uniqueId val="{00000003-5E77-3D4B-994F-7988A22E367C}"/>
            </c:ext>
          </c:extLst>
        </c:ser>
        <c:ser>
          <c:idx val="4"/>
          <c:order val="4"/>
          <c:tx>
            <c:v>NHS Community Care</c:v>
          </c:tx>
          <c:spPr>
            <a:solidFill>
              <a:srgbClr val="0B4C0B"/>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'19 LSIs'!$C$7:$J$7</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'19 LSIs'!$C$12:$J$12</c:f>
              <c:numCache>
                <c:formatCode>0</c:formatCode>
                <c:ptCount val="8"/>
              </c:numCache>
            </c:numRef>
          </c:val>
          <c:extLst>
            <c:ext xmlns:c16="http://schemas.microsoft.com/office/drawing/2014/chart" uri="{C3380CC4-5D6E-409C-BE32-E72D297353CC}">
              <c16:uniqueId val="{00000004-5E77-3D4B-994F-7988A22E367C}"/>
            </c:ext>
          </c:extLst>
        </c:ser>
        <c:ser>
          <c:idx val="5"/>
          <c:order val="5"/>
          <c:tx>
            <c:v>Community Groups</c:v>
          </c:tx>
          <c:spPr>
            <a:solidFill>
              <a:srgbClr val="5D9F3C"/>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'19 LSIs'!$C$7:$J$7</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'19 LSIs'!$C$13:$J$13</c:f>
              <c:numCache>
                <c:formatCode>0</c:formatCode>
                <c:ptCount val="8"/>
              </c:numCache>
            </c:numRef>
          </c:val>
          <c:extLst>
            <c:ext xmlns:c16="http://schemas.microsoft.com/office/drawing/2014/chart" uri="{C3380CC4-5D6E-409C-BE32-E72D297353CC}">
              <c16:uniqueId val="{00000005-5E77-3D4B-994F-7988A22E367C}"/>
            </c:ext>
          </c:extLst>
        </c:ser>
        <c:ser>
          <c:idx val="6"/>
          <c:order val="6"/>
          <c:tx>
            <c:v>Other</c:v>
          </c:tx>
          <c:spPr>
            <a:solidFill>
              <a:srgbClr val="592C20"/>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'19 LSIs'!$C$7:$J$7</c:f>
              <c:strCache>
                <c:ptCount val="8"/>
                <c:pt idx="0">
                  <c:v>Q1 2023/24</c:v>
                </c:pt>
                <c:pt idx="1">
                  <c:v>Q2 2023/24</c:v>
                </c:pt>
                <c:pt idx="2">
                  <c:v>Q3 2023/24</c:v>
                </c:pt>
                <c:pt idx="3">
                  <c:v>Q4 2023/24</c:v>
                </c:pt>
                <c:pt idx="4">
                  <c:v>Q1 2024/25</c:v>
                </c:pt>
                <c:pt idx="5">
                  <c:v>Q2 2024/25</c:v>
                </c:pt>
                <c:pt idx="6">
                  <c:v>Q3 2024/25</c:v>
                </c:pt>
                <c:pt idx="7">
                  <c:v>Q4 2024/25</c:v>
                </c:pt>
              </c:strCache>
            </c:strRef>
          </c:cat>
          <c:val>
            <c:numRef>
              <c:f>'19 LSIs'!$C$14:$J$14</c:f>
              <c:numCache>
                <c:formatCode>0</c:formatCode>
                <c:ptCount val="8"/>
              </c:numCache>
            </c:numRef>
          </c:val>
          <c:extLst>
            <c:ext xmlns:c16="http://schemas.microsoft.com/office/drawing/2014/chart" uri="{C3380CC4-5D6E-409C-BE32-E72D297353CC}">
              <c16:uniqueId val="{00000006-5E77-3D4B-994F-7988A22E367C}"/>
            </c:ext>
          </c:extLst>
        </c:ser>
        <c:dLbls>
          <c:dLblPos val="ctr"/>
          <c:showLegendKey val="0"/>
          <c:showVal val="1"/>
          <c:showCatName val="0"/>
          <c:showSerName val="0"/>
          <c:showPercent val="0"/>
          <c:showBubbleSize val="0"/>
        </c:dLbls>
        <c:gapWidth val="150"/>
        <c:overlap val="100"/>
        <c:axId val="1394868272"/>
        <c:axId val="1395348448"/>
      </c:barChart>
      <c:catAx>
        <c:axId val="139486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95348448"/>
        <c:crosses val="autoZero"/>
        <c:auto val="1"/>
        <c:lblAlgn val="ctr"/>
        <c:lblOffset val="100"/>
        <c:noMultiLvlLbl val="0"/>
      </c:catAx>
      <c:valAx>
        <c:axId val="13953484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94868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1</xdr:col>
      <xdr:colOff>93325</xdr:colOff>
      <xdr:row>53</xdr:row>
      <xdr:rowOff>24438</xdr:rowOff>
    </xdr:from>
    <xdr:to>
      <xdr:col>12</xdr:col>
      <xdr:colOff>317692</xdr:colOff>
      <xdr:row>53</xdr:row>
      <xdr:rowOff>3682038</xdr:rowOff>
    </xdr:to>
    <xdr:graphicFrame macro="">
      <xdr:nvGraphicFramePr>
        <xdr:cNvPr id="2" name="Chart 1">
          <a:extLst>
            <a:ext uri="{FF2B5EF4-FFF2-40B4-BE49-F238E27FC236}">
              <a16:creationId xmlns:a16="http://schemas.microsoft.com/office/drawing/2014/main" id="{51623840-102D-E9FF-AA38-DF91040BB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53</xdr:row>
      <xdr:rowOff>24438</xdr:rowOff>
    </xdr:from>
    <xdr:to>
      <xdr:col>23</xdr:col>
      <xdr:colOff>383116</xdr:colOff>
      <xdr:row>53</xdr:row>
      <xdr:rowOff>3682038</xdr:rowOff>
    </xdr:to>
    <xdr:graphicFrame macro="">
      <xdr:nvGraphicFramePr>
        <xdr:cNvPr id="3" name="Chart 2">
          <a:extLst>
            <a:ext uri="{FF2B5EF4-FFF2-40B4-BE49-F238E27FC236}">
              <a16:creationId xmlns:a16="http://schemas.microsoft.com/office/drawing/2014/main" id="{39A49B4A-BAF7-3BAA-8863-190E8C53B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16</xdr:row>
      <xdr:rowOff>21872</xdr:rowOff>
    </xdr:from>
    <xdr:to>
      <xdr:col>12</xdr:col>
      <xdr:colOff>330200</xdr:colOff>
      <xdr:row>17</xdr:row>
      <xdr:rowOff>208139</xdr:rowOff>
    </xdr:to>
    <xdr:graphicFrame macro="">
      <xdr:nvGraphicFramePr>
        <xdr:cNvPr id="2" name="Chart 1">
          <a:extLst>
            <a:ext uri="{FF2B5EF4-FFF2-40B4-BE49-F238E27FC236}">
              <a16:creationId xmlns:a16="http://schemas.microsoft.com/office/drawing/2014/main" id="{F972203C-BBC8-3E21-5D18-286D287CC1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470959</xdr:colOff>
      <xdr:row>16</xdr:row>
      <xdr:rowOff>25400</xdr:rowOff>
    </xdr:from>
    <xdr:to>
      <xdr:col>23</xdr:col>
      <xdr:colOff>92075</xdr:colOff>
      <xdr:row>17</xdr:row>
      <xdr:rowOff>211666</xdr:rowOff>
    </xdr:to>
    <xdr:graphicFrame macro="">
      <xdr:nvGraphicFramePr>
        <xdr:cNvPr id="4" name="Chart 3">
          <a:extLst>
            <a:ext uri="{FF2B5EF4-FFF2-40B4-BE49-F238E27FC236}">
              <a16:creationId xmlns:a16="http://schemas.microsoft.com/office/drawing/2014/main" id="{E84A8035-D336-53C7-D163-7B71E4EF9B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96520</xdr:colOff>
      <xdr:row>14</xdr:row>
      <xdr:rowOff>10160</xdr:rowOff>
    </xdr:from>
    <xdr:to>
      <xdr:col>10</xdr:col>
      <xdr:colOff>726440</xdr:colOff>
      <xdr:row>14</xdr:row>
      <xdr:rowOff>3667760</xdr:rowOff>
    </xdr:to>
    <xdr:graphicFrame macro="">
      <xdr:nvGraphicFramePr>
        <xdr:cNvPr id="4" name="Chart 3">
          <a:extLst>
            <a:ext uri="{FF2B5EF4-FFF2-40B4-BE49-F238E27FC236}">
              <a16:creationId xmlns:a16="http://schemas.microsoft.com/office/drawing/2014/main" id="{41CA696D-58DE-6567-FA49-A59FFB04D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76200</xdr:colOff>
      <xdr:row>14</xdr:row>
      <xdr:rowOff>5080</xdr:rowOff>
    </xdr:from>
    <xdr:to>
      <xdr:col>19</xdr:col>
      <xdr:colOff>807720</xdr:colOff>
      <xdr:row>14</xdr:row>
      <xdr:rowOff>3662680</xdr:rowOff>
    </xdr:to>
    <xdr:graphicFrame macro="">
      <xdr:nvGraphicFramePr>
        <xdr:cNvPr id="2" name="Chart 1">
          <a:extLst>
            <a:ext uri="{FF2B5EF4-FFF2-40B4-BE49-F238E27FC236}">
              <a16:creationId xmlns:a16="http://schemas.microsoft.com/office/drawing/2014/main" id="{6E8CED90-183D-661A-EE0A-ED007A510A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15</xdr:row>
      <xdr:rowOff>59267</xdr:rowOff>
    </xdr:from>
    <xdr:to>
      <xdr:col>12</xdr:col>
      <xdr:colOff>330200</xdr:colOff>
      <xdr:row>15</xdr:row>
      <xdr:rowOff>3716867</xdr:rowOff>
    </xdr:to>
    <xdr:graphicFrame macro="">
      <xdr:nvGraphicFramePr>
        <xdr:cNvPr id="2" name="Chart 1">
          <a:extLst>
            <a:ext uri="{FF2B5EF4-FFF2-40B4-BE49-F238E27FC236}">
              <a16:creationId xmlns:a16="http://schemas.microsoft.com/office/drawing/2014/main" id="{C45BE800-9539-C820-4AD8-9D2EA18210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31750</xdr:colOff>
      <xdr:row>20</xdr:row>
      <xdr:rowOff>9525</xdr:rowOff>
    </xdr:from>
    <xdr:to>
      <xdr:col>12</xdr:col>
      <xdr:colOff>361950</xdr:colOff>
      <xdr:row>20</xdr:row>
      <xdr:rowOff>3667125</xdr:rowOff>
    </xdr:to>
    <xdr:graphicFrame macro="">
      <xdr:nvGraphicFramePr>
        <xdr:cNvPr id="4" name="Chart 3">
          <a:extLst>
            <a:ext uri="{FF2B5EF4-FFF2-40B4-BE49-F238E27FC236}">
              <a16:creationId xmlns:a16="http://schemas.microsoft.com/office/drawing/2014/main" id="{9F51FA18-A1FB-8E4D-AB97-41AAB0C7DD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495300</xdr:colOff>
      <xdr:row>20</xdr:row>
      <xdr:rowOff>9525</xdr:rowOff>
    </xdr:from>
    <xdr:to>
      <xdr:col>23</xdr:col>
      <xdr:colOff>127000</xdr:colOff>
      <xdr:row>20</xdr:row>
      <xdr:rowOff>3667125</xdr:rowOff>
    </xdr:to>
    <xdr:graphicFrame macro="">
      <xdr:nvGraphicFramePr>
        <xdr:cNvPr id="5" name="Chart 4">
          <a:extLst>
            <a:ext uri="{FF2B5EF4-FFF2-40B4-BE49-F238E27FC236}">
              <a16:creationId xmlns:a16="http://schemas.microsoft.com/office/drawing/2014/main" id="{5ACEA7A6-C52B-F80B-5364-BB61BD4B75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127000</xdr:colOff>
      <xdr:row>27</xdr:row>
      <xdr:rowOff>63500</xdr:rowOff>
    </xdr:from>
    <xdr:to>
      <xdr:col>12</xdr:col>
      <xdr:colOff>457200</xdr:colOff>
      <xdr:row>27</xdr:row>
      <xdr:rowOff>3721100</xdr:rowOff>
    </xdr:to>
    <xdr:graphicFrame macro="">
      <xdr:nvGraphicFramePr>
        <xdr:cNvPr id="2" name="Chart 1">
          <a:extLst>
            <a:ext uri="{FF2B5EF4-FFF2-40B4-BE49-F238E27FC236}">
              <a16:creationId xmlns:a16="http://schemas.microsoft.com/office/drawing/2014/main" id="{1F6231E4-D21E-FA40-BC0B-BB3C004B2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550334</xdr:colOff>
      <xdr:row>27</xdr:row>
      <xdr:rowOff>61382</xdr:rowOff>
    </xdr:from>
    <xdr:to>
      <xdr:col>23</xdr:col>
      <xdr:colOff>182034</xdr:colOff>
      <xdr:row>27</xdr:row>
      <xdr:rowOff>3718982</xdr:rowOff>
    </xdr:to>
    <xdr:graphicFrame macro="">
      <xdr:nvGraphicFramePr>
        <xdr:cNvPr id="3" name="Chart 2">
          <a:extLst>
            <a:ext uri="{FF2B5EF4-FFF2-40B4-BE49-F238E27FC236}">
              <a16:creationId xmlns:a16="http://schemas.microsoft.com/office/drawing/2014/main" id="{17076B27-BC31-2A3F-D7FE-4EF1417B34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6350</xdr:colOff>
      <xdr:row>30</xdr:row>
      <xdr:rowOff>6350</xdr:rowOff>
    </xdr:from>
    <xdr:to>
      <xdr:col>12</xdr:col>
      <xdr:colOff>336550</xdr:colOff>
      <xdr:row>30</xdr:row>
      <xdr:rowOff>3663950</xdr:rowOff>
    </xdr:to>
    <xdr:graphicFrame macro="">
      <xdr:nvGraphicFramePr>
        <xdr:cNvPr id="4" name="Chart 3">
          <a:extLst>
            <a:ext uri="{FF2B5EF4-FFF2-40B4-BE49-F238E27FC236}">
              <a16:creationId xmlns:a16="http://schemas.microsoft.com/office/drawing/2014/main" id="{FFE04354-A78F-6D2B-2E6D-3B8EA1D0F2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463549</xdr:colOff>
      <xdr:row>30</xdr:row>
      <xdr:rowOff>14816</xdr:rowOff>
    </xdr:from>
    <xdr:to>
      <xdr:col>23</xdr:col>
      <xdr:colOff>95249</xdr:colOff>
      <xdr:row>30</xdr:row>
      <xdr:rowOff>3672416</xdr:rowOff>
    </xdr:to>
    <xdr:graphicFrame macro="">
      <xdr:nvGraphicFramePr>
        <xdr:cNvPr id="6" name="Chart 5">
          <a:extLst>
            <a:ext uri="{FF2B5EF4-FFF2-40B4-BE49-F238E27FC236}">
              <a16:creationId xmlns:a16="http://schemas.microsoft.com/office/drawing/2014/main" id="{8F4B0BF2-B28A-F8F5-9E61-32F7DF41D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20</xdr:col>
      <xdr:colOff>317498</xdr:colOff>
      <xdr:row>26</xdr:row>
      <xdr:rowOff>10583</xdr:rowOff>
    </xdr:from>
    <xdr:to>
      <xdr:col>38</xdr:col>
      <xdr:colOff>317498</xdr:colOff>
      <xdr:row>26</xdr:row>
      <xdr:rowOff>3668183</xdr:rowOff>
    </xdr:to>
    <xdr:graphicFrame macro="">
      <xdr:nvGraphicFramePr>
        <xdr:cNvPr id="3" name="Chart 2">
          <a:extLst>
            <a:ext uri="{FF2B5EF4-FFF2-40B4-BE49-F238E27FC236}">
              <a16:creationId xmlns:a16="http://schemas.microsoft.com/office/drawing/2014/main" id="{303C84B2-1448-B4C9-BF0D-895E1F25B4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52916</xdr:colOff>
      <xdr:row>26</xdr:row>
      <xdr:rowOff>9525</xdr:rowOff>
    </xdr:from>
    <xdr:to>
      <xdr:col>20</xdr:col>
      <xdr:colOff>52916</xdr:colOff>
      <xdr:row>27</xdr:row>
      <xdr:rowOff>2130425</xdr:rowOff>
    </xdr:to>
    <xdr:graphicFrame macro="">
      <xdr:nvGraphicFramePr>
        <xdr:cNvPr id="6" name="Chart 5">
          <a:extLst>
            <a:ext uri="{FF2B5EF4-FFF2-40B4-BE49-F238E27FC236}">
              <a16:creationId xmlns:a16="http://schemas.microsoft.com/office/drawing/2014/main" id="{85CC8FD7-08D1-51D2-2263-81557971CD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95249</xdr:colOff>
      <xdr:row>21</xdr:row>
      <xdr:rowOff>10583</xdr:rowOff>
    </xdr:from>
    <xdr:to>
      <xdr:col>12</xdr:col>
      <xdr:colOff>319616</xdr:colOff>
      <xdr:row>21</xdr:row>
      <xdr:rowOff>3668183</xdr:rowOff>
    </xdr:to>
    <xdr:graphicFrame macro="">
      <xdr:nvGraphicFramePr>
        <xdr:cNvPr id="2" name="Chart 1">
          <a:extLst>
            <a:ext uri="{FF2B5EF4-FFF2-40B4-BE49-F238E27FC236}">
              <a16:creationId xmlns:a16="http://schemas.microsoft.com/office/drawing/2014/main" id="{3D7AF607-7FDC-F131-0968-33033B832B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492125</xdr:colOff>
      <xdr:row>21</xdr:row>
      <xdr:rowOff>9524</xdr:rowOff>
    </xdr:from>
    <xdr:to>
      <xdr:col>23</xdr:col>
      <xdr:colOff>123825</xdr:colOff>
      <xdr:row>21</xdr:row>
      <xdr:rowOff>3667124</xdr:rowOff>
    </xdr:to>
    <xdr:graphicFrame macro="">
      <xdr:nvGraphicFramePr>
        <xdr:cNvPr id="3" name="Chart 2">
          <a:extLst>
            <a:ext uri="{FF2B5EF4-FFF2-40B4-BE49-F238E27FC236}">
              <a16:creationId xmlns:a16="http://schemas.microsoft.com/office/drawing/2014/main" id="{92F8A122-8CAE-36DE-7C61-B3E87D66C7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103716</xdr:colOff>
      <xdr:row>59</xdr:row>
      <xdr:rowOff>6350</xdr:rowOff>
    </xdr:from>
    <xdr:to>
      <xdr:col>12</xdr:col>
      <xdr:colOff>328083</xdr:colOff>
      <xdr:row>62</xdr:row>
      <xdr:rowOff>1341966</xdr:rowOff>
    </xdr:to>
    <xdr:graphicFrame macro="">
      <xdr:nvGraphicFramePr>
        <xdr:cNvPr id="2" name="Chart 1">
          <a:extLst>
            <a:ext uri="{FF2B5EF4-FFF2-40B4-BE49-F238E27FC236}">
              <a16:creationId xmlns:a16="http://schemas.microsoft.com/office/drawing/2014/main" id="{47CD970F-C22D-72BB-F3CE-09F9D3FA77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465667</xdr:colOff>
      <xdr:row>59</xdr:row>
      <xdr:rowOff>6351</xdr:rowOff>
    </xdr:from>
    <xdr:to>
      <xdr:col>23</xdr:col>
      <xdr:colOff>97367</xdr:colOff>
      <xdr:row>62</xdr:row>
      <xdr:rowOff>1341967</xdr:rowOff>
    </xdr:to>
    <xdr:graphicFrame macro="">
      <xdr:nvGraphicFramePr>
        <xdr:cNvPr id="3" name="Chart 2">
          <a:extLst>
            <a:ext uri="{FF2B5EF4-FFF2-40B4-BE49-F238E27FC236}">
              <a16:creationId xmlns:a16="http://schemas.microsoft.com/office/drawing/2014/main" id="{0DEB0547-DB6B-C78D-7879-AA125743F8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23283</xdr:colOff>
      <xdr:row>57</xdr:row>
      <xdr:rowOff>0</xdr:rowOff>
    </xdr:from>
    <xdr:to>
      <xdr:col>12</xdr:col>
      <xdr:colOff>353483</xdr:colOff>
      <xdr:row>58</xdr:row>
      <xdr:rowOff>2118784</xdr:rowOff>
    </xdr:to>
    <xdr:graphicFrame macro="">
      <xdr:nvGraphicFramePr>
        <xdr:cNvPr id="2" name="Chart 1">
          <a:extLst>
            <a:ext uri="{FF2B5EF4-FFF2-40B4-BE49-F238E27FC236}">
              <a16:creationId xmlns:a16="http://schemas.microsoft.com/office/drawing/2014/main" id="{DEB21E8E-1F94-3595-D75A-44E24EFEA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463550</xdr:colOff>
      <xdr:row>57</xdr:row>
      <xdr:rowOff>2115</xdr:rowOff>
    </xdr:from>
    <xdr:to>
      <xdr:col>23</xdr:col>
      <xdr:colOff>95250</xdr:colOff>
      <xdr:row>58</xdr:row>
      <xdr:rowOff>2120899</xdr:rowOff>
    </xdr:to>
    <xdr:graphicFrame macro="">
      <xdr:nvGraphicFramePr>
        <xdr:cNvPr id="3" name="Chart 2">
          <a:extLst>
            <a:ext uri="{FF2B5EF4-FFF2-40B4-BE49-F238E27FC236}">
              <a16:creationId xmlns:a16="http://schemas.microsoft.com/office/drawing/2014/main" id="{16F276E4-F92B-1601-07A4-D4136662D0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xdr:col>
      <xdr:colOff>76199</xdr:colOff>
      <xdr:row>57</xdr:row>
      <xdr:rowOff>50800</xdr:rowOff>
    </xdr:from>
    <xdr:to>
      <xdr:col>12</xdr:col>
      <xdr:colOff>300566</xdr:colOff>
      <xdr:row>58</xdr:row>
      <xdr:rowOff>2169584</xdr:rowOff>
    </xdr:to>
    <xdr:graphicFrame macro="">
      <xdr:nvGraphicFramePr>
        <xdr:cNvPr id="2" name="Chart 1">
          <a:extLst>
            <a:ext uri="{FF2B5EF4-FFF2-40B4-BE49-F238E27FC236}">
              <a16:creationId xmlns:a16="http://schemas.microsoft.com/office/drawing/2014/main" id="{9D3E9C66-1213-22B5-A819-8D80DF58F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416983</xdr:colOff>
      <xdr:row>57</xdr:row>
      <xdr:rowOff>52916</xdr:rowOff>
    </xdr:from>
    <xdr:to>
      <xdr:col>23</xdr:col>
      <xdr:colOff>48683</xdr:colOff>
      <xdr:row>58</xdr:row>
      <xdr:rowOff>2171700</xdr:rowOff>
    </xdr:to>
    <xdr:graphicFrame macro="">
      <xdr:nvGraphicFramePr>
        <xdr:cNvPr id="3" name="Chart 2">
          <a:extLst>
            <a:ext uri="{FF2B5EF4-FFF2-40B4-BE49-F238E27FC236}">
              <a16:creationId xmlns:a16="http://schemas.microsoft.com/office/drawing/2014/main" id="{04D992F4-D57D-693F-439A-8C80B6D702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241300</xdr:colOff>
      <xdr:row>17</xdr:row>
      <xdr:rowOff>139700</xdr:rowOff>
    </xdr:from>
    <xdr:to>
      <xdr:col>12</xdr:col>
      <xdr:colOff>571500</xdr:colOff>
      <xdr:row>19</xdr:row>
      <xdr:rowOff>463550</xdr:rowOff>
    </xdr:to>
    <xdr:graphicFrame macro="">
      <xdr:nvGraphicFramePr>
        <xdr:cNvPr id="2" name="Chart 1">
          <a:extLst>
            <a:ext uri="{FF2B5EF4-FFF2-40B4-BE49-F238E27FC236}">
              <a16:creationId xmlns:a16="http://schemas.microsoft.com/office/drawing/2014/main" id="{23F15515-FEDE-2DD8-874F-899AA80FF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2</xdr:col>
      <xdr:colOff>76200</xdr:colOff>
      <xdr:row>56</xdr:row>
      <xdr:rowOff>355600</xdr:rowOff>
    </xdr:from>
    <xdr:to>
      <xdr:col>12</xdr:col>
      <xdr:colOff>406400</xdr:colOff>
      <xdr:row>57</xdr:row>
      <xdr:rowOff>414866</xdr:rowOff>
    </xdr:to>
    <xdr:graphicFrame macro="">
      <xdr:nvGraphicFramePr>
        <xdr:cNvPr id="2" name="Chart 1">
          <a:extLst>
            <a:ext uri="{FF2B5EF4-FFF2-40B4-BE49-F238E27FC236}">
              <a16:creationId xmlns:a16="http://schemas.microsoft.com/office/drawing/2014/main" id="{CA53AC81-E0FE-2FB2-9194-386FF22E75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esignsystem.gov.scot/guidance/charts/data-visualisation-colour-palette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s://www.scotlandscensus.gov.uk/media/fxonlo0d/scotlands-census-2022-question-set-version-v4-0-09-09-2021.pdf"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www.scotlandscensus.gov.uk/metadata/dependent-children-in-family/"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pageSetUpPr fitToPage="1"/>
  </sheetPr>
  <dimension ref="A1:LA1025"/>
  <sheetViews>
    <sheetView showGridLines="0" zoomScale="120" zoomScaleNormal="120" workbookViewId="0">
      <selection activeCell="P14" sqref="P14"/>
    </sheetView>
  </sheetViews>
  <sheetFormatPr baseColWidth="10" defaultColWidth="14.5" defaultRowHeight="15" customHeight="1" x14ac:dyDescent="0.2"/>
  <cols>
    <col min="1" max="1" width="4.83203125" customWidth="1"/>
    <col min="2" max="13" width="8.83203125" customWidth="1"/>
    <col min="14" max="14" width="4.83203125" customWidth="1"/>
    <col min="15" max="26" width="8.83203125" customWidth="1"/>
  </cols>
  <sheetData>
    <row r="1" spans="1:313" ht="48" customHeight="1" x14ac:dyDescent="0.2">
      <c r="A1" s="92" t="s">
        <v>384</v>
      </c>
      <c r="B1" s="93"/>
      <c r="C1" s="93"/>
      <c r="D1" s="93"/>
      <c r="E1" s="93"/>
      <c r="F1" s="93"/>
      <c r="G1" s="93"/>
      <c r="H1" s="93"/>
      <c r="I1" s="93"/>
      <c r="J1" s="93"/>
      <c r="K1" s="93"/>
      <c r="L1" s="93"/>
      <c r="M1" s="93"/>
      <c r="N1" s="94"/>
      <c r="O1" s="1"/>
      <c r="P1" s="1"/>
      <c r="Q1" s="1"/>
      <c r="R1" s="1"/>
      <c r="S1" s="1"/>
      <c r="T1" s="1"/>
      <c r="U1" s="1"/>
      <c r="V1" s="1"/>
      <c r="W1" s="1"/>
      <c r="X1" s="1"/>
      <c r="Y1" s="1"/>
      <c r="Z1" s="1"/>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t="s">
        <v>0</v>
      </c>
    </row>
    <row r="2" spans="1:313" ht="15.75" customHeight="1" x14ac:dyDescent="0.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v>1</v>
      </c>
      <c r="LA2" s="3" t="s">
        <v>1</v>
      </c>
    </row>
    <row r="3" spans="1:313" ht="36" customHeight="1" x14ac:dyDescent="0.2">
      <c r="A3" s="91" t="s">
        <v>2</v>
      </c>
      <c r="B3" s="89"/>
      <c r="C3" s="89"/>
      <c r="D3" s="89"/>
      <c r="E3" s="89"/>
      <c r="F3" s="89"/>
      <c r="G3" s="89"/>
      <c r="H3" s="89"/>
      <c r="I3" s="89"/>
      <c r="J3" s="89"/>
      <c r="K3" s="89"/>
      <c r="L3" s="89"/>
      <c r="M3" s="89"/>
      <c r="N3" s="90"/>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v>2</v>
      </c>
      <c r="LA3" s="3" t="s">
        <v>3</v>
      </c>
    </row>
    <row r="4" spans="1:313" ht="15.75" customHeight="1" x14ac:dyDescent="0.2">
      <c r="A4" s="4"/>
      <c r="B4" s="4"/>
      <c r="C4" s="4"/>
      <c r="D4" s="4"/>
      <c r="E4" s="4"/>
      <c r="F4" s="4"/>
      <c r="G4" s="4"/>
      <c r="H4" s="4"/>
      <c r="I4" s="4"/>
      <c r="J4" s="4"/>
      <c r="K4" s="4"/>
      <c r="L4" s="4"/>
      <c r="M4" s="4"/>
      <c r="N4" s="4"/>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v>3</v>
      </c>
      <c r="LA4" s="3" t="s">
        <v>4</v>
      </c>
    </row>
    <row r="5" spans="1:313" ht="31.5" customHeight="1" x14ac:dyDescent="0.2">
      <c r="A5" s="4"/>
      <c r="B5" s="95" t="s">
        <v>0</v>
      </c>
      <c r="C5" s="86"/>
      <c r="D5" s="86"/>
      <c r="E5" s="86"/>
      <c r="F5" s="86"/>
      <c r="G5" s="86"/>
      <c r="H5" s="86"/>
      <c r="I5" s="86"/>
      <c r="J5" s="86"/>
      <c r="K5" s="86"/>
      <c r="L5" s="86"/>
      <c r="M5" s="87"/>
      <c r="N5" s="4"/>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c r="IV5" s="3"/>
      <c r="IW5" s="3"/>
      <c r="IX5" s="3"/>
      <c r="IY5" s="3"/>
      <c r="IZ5" s="3"/>
      <c r="JA5" s="3"/>
      <c r="JB5" s="3"/>
      <c r="JC5" s="3"/>
      <c r="JD5" s="3"/>
      <c r="JE5" s="3"/>
      <c r="JF5" s="3"/>
      <c r="JG5" s="3"/>
      <c r="JH5" s="3"/>
      <c r="JI5" s="3"/>
      <c r="JJ5" s="3"/>
      <c r="JK5" s="3"/>
      <c r="JL5" s="3"/>
      <c r="JM5" s="3"/>
      <c r="JN5" s="3"/>
      <c r="JO5" s="3"/>
      <c r="JP5" s="3"/>
      <c r="JQ5" s="3"/>
      <c r="JR5" s="3"/>
      <c r="JS5" s="3"/>
      <c r="JT5" s="3"/>
      <c r="JU5" s="3"/>
      <c r="JV5" s="3"/>
      <c r="JW5" s="3"/>
      <c r="JX5" s="3"/>
      <c r="JY5" s="3"/>
      <c r="JZ5" s="3"/>
      <c r="KA5" s="3"/>
      <c r="KB5" s="3"/>
      <c r="KC5" s="3"/>
      <c r="KD5" s="3"/>
      <c r="KE5" s="3"/>
      <c r="KF5" s="3"/>
      <c r="KG5" s="3"/>
      <c r="KH5" s="3"/>
      <c r="KI5" s="3"/>
      <c r="KJ5" s="3"/>
      <c r="KK5" s="3"/>
      <c r="KL5" s="3"/>
      <c r="KM5" s="3"/>
      <c r="KN5" s="3"/>
      <c r="KO5" s="3"/>
      <c r="KP5" s="3"/>
      <c r="KQ5" s="3"/>
      <c r="KR5" s="3"/>
      <c r="KS5" s="3"/>
      <c r="KT5" s="3"/>
      <c r="KU5" s="3"/>
      <c r="KV5" s="3"/>
      <c r="KW5" s="3"/>
      <c r="KX5" s="3"/>
      <c r="KY5" s="3"/>
      <c r="KZ5" s="3">
        <v>4</v>
      </c>
      <c r="LA5" s="3" t="s">
        <v>5</v>
      </c>
    </row>
    <row r="6" spans="1:313" ht="33" customHeight="1" x14ac:dyDescent="0.2">
      <c r="A6" s="96" t="s">
        <v>6</v>
      </c>
      <c r="B6" s="89"/>
      <c r="C6" s="89"/>
      <c r="D6" s="89"/>
      <c r="E6" s="89"/>
      <c r="F6" s="89"/>
      <c r="G6" s="89"/>
      <c r="H6" s="89"/>
      <c r="I6" s="89"/>
      <c r="J6" s="89"/>
      <c r="K6" s="89"/>
      <c r="L6" s="89"/>
      <c r="M6" s="89"/>
      <c r="N6" s="90"/>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c r="IV6" s="3"/>
      <c r="IW6" s="3"/>
      <c r="IX6" s="3"/>
      <c r="IY6" s="3"/>
      <c r="IZ6" s="3"/>
      <c r="JA6" s="3"/>
      <c r="JB6" s="3"/>
      <c r="JC6" s="3"/>
      <c r="JD6" s="3"/>
      <c r="JE6" s="3"/>
      <c r="JF6" s="3"/>
      <c r="JG6" s="3"/>
      <c r="JH6" s="3"/>
      <c r="JI6" s="3"/>
      <c r="JJ6" s="3"/>
      <c r="JK6" s="3"/>
      <c r="JL6" s="3"/>
      <c r="JM6" s="3"/>
      <c r="JN6" s="3"/>
      <c r="JO6" s="3"/>
      <c r="JP6" s="3"/>
      <c r="JQ6" s="3"/>
      <c r="JR6" s="3"/>
      <c r="JS6" s="3"/>
      <c r="JT6" s="3"/>
      <c r="JU6" s="3"/>
      <c r="JV6" s="3"/>
      <c r="JW6" s="3"/>
      <c r="JX6" s="3"/>
      <c r="JY6" s="3"/>
      <c r="JZ6" s="3"/>
      <c r="KA6" s="3"/>
      <c r="KB6" s="3"/>
      <c r="KC6" s="3"/>
      <c r="KD6" s="3"/>
      <c r="KE6" s="3"/>
      <c r="KF6" s="3"/>
      <c r="KG6" s="3"/>
      <c r="KH6" s="3"/>
      <c r="KI6" s="3"/>
      <c r="KJ6" s="3"/>
      <c r="KK6" s="3"/>
      <c r="KL6" s="3"/>
      <c r="KM6" s="3"/>
      <c r="KN6" s="3"/>
      <c r="KO6" s="3"/>
      <c r="KP6" s="3"/>
      <c r="KQ6" s="3"/>
      <c r="KR6" s="3"/>
      <c r="KS6" s="3"/>
      <c r="KT6" s="3"/>
      <c r="KU6" s="3"/>
      <c r="KV6" s="3"/>
      <c r="KW6" s="3"/>
      <c r="KX6" s="3"/>
      <c r="KY6" s="3"/>
      <c r="KZ6" s="3">
        <v>5</v>
      </c>
      <c r="LA6" s="3" t="s">
        <v>7</v>
      </c>
    </row>
    <row r="7" spans="1:313" ht="15.75" customHeight="1" x14ac:dyDescent="0.2">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c r="IV7" s="3"/>
      <c r="IW7" s="3"/>
      <c r="IX7" s="3"/>
      <c r="IY7" s="3"/>
      <c r="IZ7" s="3"/>
      <c r="JA7" s="3"/>
      <c r="JB7" s="3"/>
      <c r="JC7" s="3"/>
      <c r="JD7" s="3"/>
      <c r="JE7" s="3"/>
      <c r="JF7" s="3"/>
      <c r="JG7" s="3"/>
      <c r="JH7" s="3"/>
      <c r="JI7" s="3"/>
      <c r="JJ7" s="3"/>
      <c r="JK7" s="3"/>
      <c r="JL7" s="3"/>
      <c r="JM7" s="3"/>
      <c r="JN7" s="3"/>
      <c r="JO7" s="3"/>
      <c r="JP7" s="3"/>
      <c r="JQ7" s="3"/>
      <c r="JR7" s="3"/>
      <c r="JS7" s="3"/>
      <c r="JT7" s="3"/>
      <c r="JU7" s="3"/>
      <c r="JV7" s="3"/>
      <c r="JW7" s="3"/>
      <c r="JX7" s="3"/>
      <c r="JY7" s="3"/>
      <c r="JZ7" s="3"/>
      <c r="KA7" s="3"/>
      <c r="KB7" s="3"/>
      <c r="KC7" s="3"/>
      <c r="KD7" s="3"/>
      <c r="KE7" s="3"/>
      <c r="KF7" s="3"/>
      <c r="KG7" s="3"/>
      <c r="KH7" s="3"/>
      <c r="KI7" s="3"/>
      <c r="KJ7" s="3"/>
      <c r="KK7" s="3"/>
      <c r="KL7" s="3"/>
      <c r="KM7" s="3"/>
      <c r="KN7" s="3"/>
      <c r="KO7" s="3"/>
      <c r="KP7" s="3"/>
      <c r="KQ7" s="3"/>
      <c r="KR7" s="3"/>
      <c r="KS7" s="3"/>
      <c r="KT7" s="3"/>
      <c r="KU7" s="3"/>
      <c r="KV7" s="3"/>
      <c r="KW7" s="3"/>
      <c r="KX7" s="3"/>
      <c r="KY7" s="3"/>
      <c r="KZ7" s="3">
        <v>6</v>
      </c>
      <c r="LA7" s="3" t="s">
        <v>8</v>
      </c>
    </row>
    <row r="8" spans="1:313" ht="36" customHeight="1" x14ac:dyDescent="0.2">
      <c r="A8" s="91" t="s">
        <v>9</v>
      </c>
      <c r="B8" s="89"/>
      <c r="C8" s="89"/>
      <c r="D8" s="89"/>
      <c r="E8" s="89"/>
      <c r="F8" s="89"/>
      <c r="G8" s="89"/>
      <c r="H8" s="89"/>
      <c r="I8" s="89"/>
      <c r="J8" s="89"/>
      <c r="K8" s="89"/>
      <c r="L8" s="89"/>
      <c r="M8" s="89"/>
      <c r="N8" s="90"/>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c r="IV8" s="3"/>
      <c r="IW8" s="3"/>
      <c r="IX8" s="3"/>
      <c r="IY8" s="3"/>
      <c r="IZ8" s="3"/>
      <c r="JA8" s="3"/>
      <c r="JB8" s="3"/>
      <c r="JC8" s="3"/>
      <c r="JD8" s="3"/>
      <c r="JE8" s="3"/>
      <c r="JF8" s="3"/>
      <c r="JG8" s="3"/>
      <c r="JH8" s="3"/>
      <c r="JI8" s="3"/>
      <c r="JJ8" s="3"/>
      <c r="JK8" s="3"/>
      <c r="JL8" s="3"/>
      <c r="JM8" s="3"/>
      <c r="JN8" s="3"/>
      <c r="JO8" s="3"/>
      <c r="JP8" s="3"/>
      <c r="JQ8" s="3"/>
      <c r="JR8" s="3"/>
      <c r="JS8" s="3"/>
      <c r="JT8" s="3"/>
      <c r="JU8" s="3"/>
      <c r="JV8" s="3"/>
      <c r="JW8" s="3"/>
      <c r="JX8" s="3"/>
      <c r="JY8" s="3"/>
      <c r="JZ8" s="3"/>
      <c r="KA8" s="3"/>
      <c r="KB8" s="3"/>
      <c r="KC8" s="3"/>
      <c r="KD8" s="3"/>
      <c r="KE8" s="3"/>
      <c r="KF8" s="3"/>
      <c r="KG8" s="3"/>
      <c r="KH8" s="3"/>
      <c r="KI8" s="3"/>
      <c r="KJ8" s="3"/>
      <c r="KK8" s="3"/>
      <c r="KL8" s="3"/>
      <c r="KM8" s="3"/>
      <c r="KN8" s="3"/>
      <c r="KO8" s="3"/>
      <c r="KP8" s="3"/>
      <c r="KQ8" s="3"/>
      <c r="KR8" s="3"/>
      <c r="KS8" s="3"/>
      <c r="KT8" s="3"/>
      <c r="KU8" s="3"/>
      <c r="KV8" s="3"/>
      <c r="KW8" s="3"/>
      <c r="KX8" s="3"/>
      <c r="KY8" s="3"/>
      <c r="KZ8" s="3">
        <v>7</v>
      </c>
      <c r="LA8" s="3" t="s">
        <v>10</v>
      </c>
    </row>
    <row r="9" spans="1:313" ht="48" customHeight="1" x14ac:dyDescent="0.2">
      <c r="A9" s="96" t="s">
        <v>11</v>
      </c>
      <c r="B9" s="89"/>
      <c r="C9" s="89"/>
      <c r="D9" s="89"/>
      <c r="E9" s="89"/>
      <c r="F9" s="89"/>
      <c r="G9" s="89"/>
      <c r="H9" s="89"/>
      <c r="I9" s="89"/>
      <c r="J9" s="89"/>
      <c r="K9" s="89"/>
      <c r="L9" s="89"/>
      <c r="M9" s="89"/>
      <c r="N9" s="90"/>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c r="IV9" s="3"/>
      <c r="IW9" s="3"/>
      <c r="IX9" s="3"/>
      <c r="IY9" s="3"/>
      <c r="IZ9" s="3"/>
      <c r="JA9" s="3"/>
      <c r="JB9" s="3"/>
      <c r="JC9" s="3"/>
      <c r="JD9" s="3"/>
      <c r="JE9" s="3"/>
      <c r="JF9" s="3"/>
      <c r="JG9" s="3"/>
      <c r="JH9" s="3"/>
      <c r="JI9" s="3"/>
      <c r="JJ9" s="3"/>
      <c r="JK9" s="3"/>
      <c r="JL9" s="3"/>
      <c r="JM9" s="3"/>
      <c r="JN9" s="3"/>
      <c r="JO9" s="3"/>
      <c r="JP9" s="3"/>
      <c r="JQ9" s="3"/>
      <c r="JR9" s="3"/>
      <c r="JS9" s="3"/>
      <c r="JT9" s="3"/>
      <c r="JU9" s="3"/>
      <c r="JV9" s="3"/>
      <c r="JW9" s="3"/>
      <c r="JX9" s="3"/>
      <c r="JY9" s="3"/>
      <c r="JZ9" s="3"/>
      <c r="KA9" s="3"/>
      <c r="KB9" s="3"/>
      <c r="KC9" s="3"/>
      <c r="KD9" s="3"/>
      <c r="KE9" s="3"/>
      <c r="KF9" s="3"/>
      <c r="KG9" s="3"/>
      <c r="KH9" s="3"/>
      <c r="KI9" s="3"/>
      <c r="KJ9" s="3"/>
      <c r="KK9" s="3"/>
      <c r="KL9" s="3"/>
      <c r="KM9" s="3"/>
      <c r="KN9" s="3"/>
      <c r="KO9" s="3"/>
      <c r="KP9" s="3"/>
      <c r="KQ9" s="3"/>
      <c r="KR9" s="3"/>
      <c r="KS9" s="3"/>
      <c r="KT9" s="3"/>
      <c r="KU9" s="3"/>
      <c r="KV9" s="3"/>
      <c r="KW9" s="3"/>
      <c r="KX9" s="3"/>
      <c r="KY9" s="3"/>
      <c r="KZ9" s="3">
        <v>8</v>
      </c>
      <c r="LA9" s="3" t="s">
        <v>12</v>
      </c>
    </row>
    <row r="10" spans="1:313" ht="48" customHeight="1" x14ac:dyDescent="0.2">
      <c r="A10" s="5"/>
      <c r="B10" s="100" t="s">
        <v>13</v>
      </c>
      <c r="C10" s="99"/>
      <c r="D10" s="97"/>
      <c r="E10" s="98"/>
      <c r="F10" s="98"/>
      <c r="G10" s="98"/>
      <c r="H10" s="98"/>
      <c r="I10" s="98"/>
      <c r="J10" s="98"/>
      <c r="K10" s="98"/>
      <c r="L10" s="99"/>
      <c r="M10" s="5"/>
      <c r="N10" s="5"/>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c r="IV10" s="3"/>
      <c r="IW10" s="3"/>
      <c r="IX10" s="3"/>
      <c r="IY10" s="3"/>
      <c r="IZ10" s="3"/>
      <c r="JA10" s="3"/>
      <c r="JB10" s="3"/>
      <c r="JC10" s="3"/>
      <c r="JD10" s="3"/>
      <c r="JE10" s="3"/>
      <c r="JF10" s="3"/>
      <c r="JG10" s="3"/>
      <c r="JH10" s="3"/>
      <c r="JI10" s="3"/>
      <c r="JJ10" s="3"/>
      <c r="JK10" s="3"/>
      <c r="JL10" s="3"/>
      <c r="JM10" s="3"/>
      <c r="JN10" s="3"/>
      <c r="JO10" s="3"/>
      <c r="JP10" s="3"/>
      <c r="JQ10" s="3"/>
      <c r="JR10" s="3"/>
      <c r="JS10" s="3"/>
      <c r="JT10" s="3"/>
      <c r="JU10" s="3"/>
      <c r="JV10" s="3"/>
      <c r="JW10" s="3"/>
      <c r="JX10" s="3"/>
      <c r="JY10" s="3"/>
      <c r="JZ10" s="3"/>
      <c r="KA10" s="3"/>
      <c r="KB10" s="3"/>
      <c r="KC10" s="3"/>
      <c r="KD10" s="3"/>
      <c r="KE10" s="3"/>
      <c r="KF10" s="3"/>
      <c r="KG10" s="3"/>
      <c r="KH10" s="3"/>
      <c r="KI10" s="3"/>
      <c r="KJ10" s="3"/>
      <c r="KK10" s="3"/>
      <c r="KL10" s="3"/>
      <c r="KM10" s="3"/>
      <c r="KN10" s="3"/>
      <c r="KO10" s="3"/>
      <c r="KP10" s="3"/>
      <c r="KQ10" s="3"/>
      <c r="KR10" s="3"/>
      <c r="KS10" s="3"/>
      <c r="KT10" s="3"/>
      <c r="KU10" s="3"/>
      <c r="KV10" s="3"/>
      <c r="KW10" s="3"/>
      <c r="KX10" s="3"/>
      <c r="KY10" s="3"/>
      <c r="KZ10" s="3">
        <v>9</v>
      </c>
      <c r="LA10" s="3" t="s">
        <v>14</v>
      </c>
    </row>
    <row r="11" spans="1:313" ht="48" customHeight="1" x14ac:dyDescent="0.2">
      <c r="A11" s="5"/>
      <c r="B11" s="100" t="s">
        <v>15</v>
      </c>
      <c r="C11" s="99"/>
      <c r="D11" s="97"/>
      <c r="E11" s="98"/>
      <c r="F11" s="98"/>
      <c r="G11" s="98"/>
      <c r="H11" s="98"/>
      <c r="I11" s="98"/>
      <c r="J11" s="98"/>
      <c r="K11" s="98"/>
      <c r="L11" s="99"/>
      <c r="M11" s="5"/>
      <c r="N11" s="5"/>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c r="IV11" s="3"/>
      <c r="IW11" s="3"/>
      <c r="IX11" s="3"/>
      <c r="IY11" s="3"/>
      <c r="IZ11" s="3"/>
      <c r="JA11" s="3"/>
      <c r="JB11" s="3"/>
      <c r="JC11" s="3"/>
      <c r="JD11" s="3"/>
      <c r="JE11" s="3"/>
      <c r="JF11" s="3"/>
      <c r="JG11" s="3"/>
      <c r="JH11" s="3"/>
      <c r="JI11" s="3"/>
      <c r="JJ11" s="3"/>
      <c r="JK11" s="3"/>
      <c r="JL11" s="3"/>
      <c r="JM11" s="3"/>
      <c r="JN11" s="3"/>
      <c r="JO11" s="3"/>
      <c r="JP11" s="3"/>
      <c r="JQ11" s="3"/>
      <c r="JR11" s="3"/>
      <c r="JS11" s="3"/>
      <c r="JT11" s="3"/>
      <c r="JU11" s="3"/>
      <c r="JV11" s="3"/>
      <c r="JW11" s="3"/>
      <c r="JX11" s="3"/>
      <c r="JY11" s="3"/>
      <c r="JZ11" s="3"/>
      <c r="KA11" s="3"/>
      <c r="KB11" s="3"/>
      <c r="KC11" s="3"/>
      <c r="KD11" s="3"/>
      <c r="KE11" s="3"/>
      <c r="KF11" s="3"/>
      <c r="KG11" s="3"/>
      <c r="KH11" s="3"/>
      <c r="KI11" s="3"/>
      <c r="KJ11" s="3"/>
      <c r="KK11" s="3"/>
      <c r="KL11" s="3"/>
      <c r="KM11" s="3"/>
      <c r="KN11" s="3"/>
      <c r="KO11" s="3"/>
      <c r="KP11" s="3"/>
      <c r="KQ11" s="3"/>
      <c r="KR11" s="3"/>
      <c r="KS11" s="3"/>
      <c r="KT11" s="3"/>
      <c r="KU11" s="3"/>
      <c r="KV11" s="3"/>
      <c r="KW11" s="3"/>
      <c r="KX11" s="3"/>
      <c r="KY11" s="3"/>
      <c r="KZ11" s="3">
        <v>10</v>
      </c>
      <c r="LA11" s="3" t="s">
        <v>16</v>
      </c>
    </row>
    <row r="12" spans="1:313" ht="15.75" customHeight="1" x14ac:dyDescent="0.2">
      <c r="A12" s="6"/>
      <c r="B12" s="6"/>
      <c r="C12" s="6"/>
      <c r="D12" s="6"/>
      <c r="E12" s="6"/>
      <c r="F12" s="6"/>
      <c r="G12" s="6"/>
      <c r="H12" s="6"/>
      <c r="I12" s="6"/>
      <c r="J12" s="6"/>
      <c r="K12" s="6"/>
      <c r="L12" s="6"/>
      <c r="M12" s="6"/>
      <c r="N12" s="6"/>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c r="IV12" s="3"/>
      <c r="IW12" s="3"/>
      <c r="IX12" s="3"/>
      <c r="IY12" s="3"/>
      <c r="IZ12" s="3"/>
      <c r="JA12" s="3"/>
      <c r="JB12" s="3"/>
      <c r="JC12" s="3"/>
      <c r="JD12" s="3"/>
      <c r="JE12" s="3"/>
      <c r="JF12" s="3"/>
      <c r="JG12" s="3"/>
      <c r="JH12" s="3"/>
      <c r="JI12" s="3"/>
      <c r="JJ12" s="3"/>
      <c r="JK12" s="3"/>
      <c r="JL12" s="3"/>
      <c r="JM12" s="3"/>
      <c r="JN12" s="3"/>
      <c r="JO12" s="3"/>
      <c r="JP12" s="3"/>
      <c r="JQ12" s="3"/>
      <c r="JR12" s="3"/>
      <c r="JS12" s="3"/>
      <c r="JT12" s="3"/>
      <c r="JU12" s="3"/>
      <c r="JV12" s="3"/>
      <c r="JW12" s="3"/>
      <c r="JX12" s="3"/>
      <c r="JY12" s="3"/>
      <c r="JZ12" s="3"/>
      <c r="KA12" s="3"/>
      <c r="KB12" s="3"/>
      <c r="KC12" s="3"/>
      <c r="KD12" s="3"/>
      <c r="KE12" s="3"/>
      <c r="KF12" s="3"/>
      <c r="KG12" s="3"/>
      <c r="KH12" s="3"/>
      <c r="KI12" s="3"/>
      <c r="KJ12" s="3"/>
      <c r="KK12" s="3"/>
      <c r="KL12" s="3"/>
      <c r="KM12" s="3"/>
      <c r="KN12" s="3"/>
      <c r="KO12" s="3"/>
      <c r="KP12" s="3"/>
      <c r="KQ12" s="3"/>
      <c r="KR12" s="3"/>
      <c r="KS12" s="3"/>
      <c r="KT12" s="3"/>
      <c r="KU12" s="3"/>
      <c r="KV12" s="3"/>
      <c r="KW12" s="3"/>
      <c r="KX12" s="3"/>
      <c r="KY12" s="3"/>
      <c r="KZ12" s="3">
        <v>11</v>
      </c>
      <c r="LA12" s="3" t="s">
        <v>17</v>
      </c>
    </row>
    <row r="13" spans="1:313" ht="15.75" customHeight="1" x14ac:dyDescent="0.2">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c r="IW13" s="3"/>
      <c r="IX13" s="3"/>
      <c r="IY13" s="3"/>
      <c r="IZ13" s="3"/>
      <c r="JA13" s="3"/>
      <c r="JB13" s="3"/>
      <c r="JC13" s="3"/>
      <c r="JD13" s="3"/>
      <c r="JE13" s="3"/>
      <c r="JF13" s="3"/>
      <c r="JG13" s="3"/>
      <c r="JH13" s="3"/>
      <c r="JI13" s="3"/>
      <c r="JJ13" s="3"/>
      <c r="JK13" s="3"/>
      <c r="JL13" s="3"/>
      <c r="JM13" s="3"/>
      <c r="JN13" s="3"/>
      <c r="JO13" s="3"/>
      <c r="JP13" s="3"/>
      <c r="JQ13" s="3"/>
      <c r="JR13" s="3"/>
      <c r="JS13" s="3"/>
      <c r="JT13" s="3"/>
      <c r="JU13" s="3"/>
      <c r="JV13" s="3"/>
      <c r="JW13" s="3"/>
      <c r="JX13" s="3"/>
      <c r="JY13" s="3"/>
      <c r="JZ13" s="3"/>
      <c r="KA13" s="3"/>
      <c r="KB13" s="3"/>
      <c r="KC13" s="3"/>
      <c r="KD13" s="3"/>
      <c r="KE13" s="3"/>
      <c r="KF13" s="3"/>
      <c r="KG13" s="3"/>
      <c r="KH13" s="3"/>
      <c r="KI13" s="3"/>
      <c r="KJ13" s="3"/>
      <c r="KK13" s="3"/>
      <c r="KL13" s="3"/>
      <c r="KM13" s="3"/>
      <c r="KN13" s="3"/>
      <c r="KO13" s="3"/>
      <c r="KP13" s="3"/>
      <c r="KQ13" s="3"/>
      <c r="KR13" s="3"/>
      <c r="KS13" s="3"/>
      <c r="KT13" s="3"/>
      <c r="KU13" s="3"/>
      <c r="KV13" s="3"/>
      <c r="KW13" s="3"/>
      <c r="KX13" s="3"/>
      <c r="KY13" s="3"/>
      <c r="KZ13" s="3">
        <v>12</v>
      </c>
      <c r="LA13" s="3" t="s">
        <v>18</v>
      </c>
    </row>
    <row r="14" spans="1:313" ht="36" customHeight="1" x14ac:dyDescent="0.2">
      <c r="A14" s="91" t="s">
        <v>19</v>
      </c>
      <c r="B14" s="89"/>
      <c r="C14" s="89"/>
      <c r="D14" s="89"/>
      <c r="E14" s="89"/>
      <c r="F14" s="89"/>
      <c r="G14" s="89"/>
      <c r="H14" s="89"/>
      <c r="I14" s="89"/>
      <c r="J14" s="89"/>
      <c r="K14" s="89"/>
      <c r="L14" s="89"/>
      <c r="M14" s="89"/>
      <c r="N14" s="90"/>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c r="IW14" s="3"/>
      <c r="IX14" s="3"/>
      <c r="IY14" s="3"/>
      <c r="IZ14" s="3"/>
      <c r="JA14" s="3"/>
      <c r="JB14" s="3"/>
      <c r="JC14" s="3"/>
      <c r="JD14" s="3"/>
      <c r="JE14" s="3"/>
      <c r="JF14" s="3"/>
      <c r="JG14" s="3"/>
      <c r="JH14" s="3"/>
      <c r="JI14" s="3"/>
      <c r="JJ14" s="3"/>
      <c r="JK14" s="3"/>
      <c r="JL14" s="3"/>
      <c r="JM14" s="3"/>
      <c r="JN14" s="3"/>
      <c r="JO14" s="3"/>
      <c r="JP14" s="3"/>
      <c r="JQ14" s="3"/>
      <c r="JR14" s="3"/>
      <c r="JS14" s="3"/>
      <c r="JT14" s="3"/>
      <c r="JU14" s="3"/>
      <c r="JV14" s="3"/>
      <c r="JW14" s="3"/>
      <c r="JX14" s="3"/>
      <c r="JY14" s="3"/>
      <c r="JZ14" s="3"/>
      <c r="KA14" s="3"/>
      <c r="KB14" s="3"/>
      <c r="KC14" s="3"/>
      <c r="KD14" s="3"/>
      <c r="KE14" s="3"/>
      <c r="KF14" s="3"/>
      <c r="KG14" s="3"/>
      <c r="KH14" s="3"/>
      <c r="KI14" s="3"/>
      <c r="KJ14" s="3"/>
      <c r="KK14" s="3"/>
      <c r="KL14" s="3"/>
      <c r="KM14" s="3"/>
      <c r="KN14" s="3"/>
      <c r="KO14" s="3"/>
      <c r="KP14" s="3"/>
      <c r="KQ14" s="3"/>
      <c r="KR14" s="3"/>
      <c r="KS14" s="3"/>
      <c r="KT14" s="3"/>
      <c r="KU14" s="3"/>
      <c r="KV14" s="3"/>
      <c r="KW14" s="3"/>
      <c r="KX14" s="3"/>
      <c r="KY14" s="3"/>
      <c r="KZ14" s="3">
        <v>13</v>
      </c>
      <c r="LA14" s="3" t="s">
        <v>20</v>
      </c>
    </row>
    <row r="15" spans="1:313" ht="48" customHeight="1" x14ac:dyDescent="0.2">
      <c r="A15" s="96" t="s">
        <v>21</v>
      </c>
      <c r="B15" s="89"/>
      <c r="C15" s="89"/>
      <c r="D15" s="89"/>
      <c r="E15" s="89"/>
      <c r="F15" s="89"/>
      <c r="G15" s="89"/>
      <c r="H15" s="89"/>
      <c r="I15" s="89"/>
      <c r="J15" s="89"/>
      <c r="K15" s="89"/>
      <c r="L15" s="89"/>
      <c r="M15" s="89"/>
      <c r="N15" s="90"/>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c r="IW15" s="3"/>
      <c r="IX15" s="3"/>
      <c r="IY15" s="3"/>
      <c r="IZ15" s="3"/>
      <c r="JA15" s="3"/>
      <c r="JB15" s="3"/>
      <c r="JC15" s="3"/>
      <c r="JD15" s="3"/>
      <c r="JE15" s="3"/>
      <c r="JF15" s="3"/>
      <c r="JG15" s="3"/>
      <c r="JH15" s="3"/>
      <c r="JI15" s="3"/>
      <c r="JJ15" s="3"/>
      <c r="JK15" s="3"/>
      <c r="JL15" s="3"/>
      <c r="JM15" s="3"/>
      <c r="JN15" s="3"/>
      <c r="JO15" s="3"/>
      <c r="JP15" s="3"/>
      <c r="JQ15" s="3"/>
      <c r="JR15" s="3"/>
      <c r="JS15" s="3"/>
      <c r="JT15" s="3"/>
      <c r="JU15" s="3"/>
      <c r="JV15" s="3"/>
      <c r="JW15" s="3"/>
      <c r="JX15" s="3"/>
      <c r="JY15" s="3"/>
      <c r="JZ15" s="3"/>
      <c r="KA15" s="3"/>
      <c r="KB15" s="3"/>
      <c r="KC15" s="3"/>
      <c r="KD15" s="3"/>
      <c r="KE15" s="3"/>
      <c r="KF15" s="3"/>
      <c r="KG15" s="3"/>
      <c r="KH15" s="3"/>
      <c r="KI15" s="3"/>
      <c r="KJ15" s="3"/>
      <c r="KK15" s="3"/>
      <c r="KL15" s="3"/>
      <c r="KM15" s="3"/>
      <c r="KN15" s="3"/>
      <c r="KO15" s="3"/>
      <c r="KP15" s="3"/>
      <c r="KQ15" s="3"/>
      <c r="KR15" s="3"/>
      <c r="KS15" s="3"/>
      <c r="KT15" s="3"/>
      <c r="KU15" s="3"/>
      <c r="KV15" s="3"/>
      <c r="KW15" s="3"/>
      <c r="KX15" s="3"/>
      <c r="KY15" s="3"/>
      <c r="KZ15" s="3">
        <v>14</v>
      </c>
      <c r="LA15" s="3" t="s">
        <v>22</v>
      </c>
    </row>
    <row r="16" spans="1:313" ht="85.5" customHeight="1" x14ac:dyDescent="0.2">
      <c r="A16" s="88" t="s">
        <v>23</v>
      </c>
      <c r="B16" s="89"/>
      <c r="C16" s="89"/>
      <c r="D16" s="89"/>
      <c r="E16" s="89"/>
      <c r="F16" s="89"/>
      <c r="G16" s="89"/>
      <c r="H16" s="89"/>
      <c r="I16" s="89"/>
      <c r="J16" s="89"/>
      <c r="K16" s="89"/>
      <c r="L16" s="89"/>
      <c r="M16" s="89"/>
      <c r="N16" s="90"/>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c r="IW16" s="3"/>
      <c r="IX16" s="3"/>
      <c r="IY16" s="3"/>
      <c r="IZ16" s="3"/>
      <c r="JA16" s="3"/>
      <c r="JB16" s="3"/>
      <c r="JC16" s="3"/>
      <c r="JD16" s="3"/>
      <c r="JE16" s="3"/>
      <c r="JF16" s="3"/>
      <c r="JG16" s="3"/>
      <c r="JH16" s="3"/>
      <c r="JI16" s="3"/>
      <c r="JJ16" s="3"/>
      <c r="JK16" s="3"/>
      <c r="JL16" s="3"/>
      <c r="JM16" s="3"/>
      <c r="JN16" s="3"/>
      <c r="JO16" s="3"/>
      <c r="JP16" s="3"/>
      <c r="JQ16" s="3"/>
      <c r="JR16" s="3"/>
      <c r="JS16" s="3"/>
      <c r="JT16" s="3"/>
      <c r="JU16" s="3"/>
      <c r="JV16" s="3"/>
      <c r="JW16" s="3"/>
      <c r="JX16" s="3"/>
      <c r="JY16" s="3"/>
      <c r="JZ16" s="3"/>
      <c r="KA16" s="3"/>
      <c r="KB16" s="3"/>
      <c r="KC16" s="3"/>
      <c r="KD16" s="3"/>
      <c r="KE16" s="3"/>
      <c r="KF16" s="3"/>
      <c r="KG16" s="3"/>
      <c r="KH16" s="3"/>
      <c r="KI16" s="3"/>
      <c r="KJ16" s="3"/>
      <c r="KK16" s="3"/>
      <c r="KL16" s="3"/>
      <c r="KM16" s="3"/>
      <c r="KN16" s="3"/>
      <c r="KO16" s="3"/>
      <c r="KP16" s="3"/>
      <c r="KQ16" s="3"/>
      <c r="KR16" s="3"/>
      <c r="KS16" s="3"/>
      <c r="KT16" s="3"/>
      <c r="KU16" s="3"/>
      <c r="KV16" s="3"/>
      <c r="KW16" s="3"/>
      <c r="KX16" s="3"/>
      <c r="KY16" s="3"/>
      <c r="KZ16" s="3">
        <v>15</v>
      </c>
      <c r="LA16" s="3" t="s">
        <v>24</v>
      </c>
    </row>
    <row r="17" spans="1:313" ht="15.75" customHeight="1" x14ac:dyDescent="0.2">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c r="IW17" s="3"/>
      <c r="IX17" s="3"/>
      <c r="IY17" s="3"/>
      <c r="IZ17" s="3"/>
      <c r="JA17" s="3"/>
      <c r="JB17" s="3"/>
      <c r="JC17" s="3"/>
      <c r="JD17" s="3"/>
      <c r="JE17" s="3"/>
      <c r="JF17" s="3"/>
      <c r="JG17" s="3"/>
      <c r="JH17" s="3"/>
      <c r="JI17" s="3"/>
      <c r="JJ17" s="3"/>
      <c r="JK17" s="3"/>
      <c r="JL17" s="3"/>
      <c r="JM17" s="3"/>
      <c r="JN17" s="3"/>
      <c r="JO17" s="3"/>
      <c r="JP17" s="3"/>
      <c r="JQ17" s="3"/>
      <c r="JR17" s="3"/>
      <c r="JS17" s="3"/>
      <c r="JT17" s="3"/>
      <c r="JU17" s="3"/>
      <c r="JV17" s="3"/>
      <c r="JW17" s="3"/>
      <c r="JX17" s="3"/>
      <c r="JY17" s="3"/>
      <c r="JZ17" s="3"/>
      <c r="KA17" s="3"/>
      <c r="KB17" s="3"/>
      <c r="KC17" s="3"/>
      <c r="KD17" s="3"/>
      <c r="KE17" s="3"/>
      <c r="KF17" s="3"/>
      <c r="KG17" s="3"/>
      <c r="KH17" s="3"/>
      <c r="KI17" s="3"/>
      <c r="KJ17" s="3"/>
      <c r="KK17" s="3"/>
      <c r="KL17" s="3"/>
      <c r="KM17" s="3"/>
      <c r="KN17" s="3"/>
      <c r="KO17" s="3"/>
      <c r="KP17" s="3"/>
      <c r="KQ17" s="3"/>
      <c r="KR17" s="3"/>
      <c r="KS17" s="3"/>
      <c r="KT17" s="3"/>
      <c r="KU17" s="3"/>
      <c r="KV17" s="3"/>
      <c r="KW17" s="3"/>
      <c r="KX17" s="3"/>
      <c r="KY17" s="3"/>
      <c r="KZ17" s="3">
        <v>16</v>
      </c>
      <c r="LA17" s="3" t="s">
        <v>25</v>
      </c>
    </row>
    <row r="18" spans="1:313" ht="36" customHeight="1" x14ac:dyDescent="0.2">
      <c r="A18" s="91" t="s">
        <v>26</v>
      </c>
      <c r="B18" s="89"/>
      <c r="C18" s="89"/>
      <c r="D18" s="89"/>
      <c r="E18" s="89"/>
      <c r="F18" s="89"/>
      <c r="G18" s="89"/>
      <c r="H18" s="89"/>
      <c r="I18" s="89"/>
      <c r="J18" s="89"/>
      <c r="K18" s="89"/>
      <c r="L18" s="89"/>
      <c r="M18" s="89"/>
      <c r="N18" s="90"/>
      <c r="O18" s="7"/>
      <c r="P18" s="7"/>
      <c r="Q18" s="1"/>
      <c r="R18" s="1"/>
      <c r="S18" s="1"/>
      <c r="T18" s="1"/>
      <c r="U18" s="1"/>
      <c r="V18" s="1"/>
      <c r="W18" s="1"/>
      <c r="X18" s="1"/>
      <c r="Y18" s="1"/>
      <c r="Z18" s="1"/>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3">
        <v>17</v>
      </c>
      <c r="LA18" s="3" t="s">
        <v>27</v>
      </c>
    </row>
    <row r="19" spans="1:313" ht="24" customHeight="1" x14ac:dyDescent="0.2">
      <c r="A19" s="68" t="str">
        <f>'Notes on chart use'!A1</f>
        <v>Supplemental</v>
      </c>
      <c r="B19" s="68"/>
      <c r="C19" s="68" t="str">
        <f>'Notes on chart use'!C1</f>
        <v>NOTES ON CHART USAGE (PLEASE READ)</v>
      </c>
      <c r="D19" s="68"/>
      <c r="E19" s="68"/>
      <c r="F19" s="68"/>
      <c r="G19" s="68"/>
      <c r="H19" s="68"/>
      <c r="I19" s="68"/>
      <c r="J19" s="68"/>
      <c r="K19" s="68"/>
      <c r="L19" s="68"/>
      <c r="M19" s="68"/>
      <c r="N19" s="68"/>
      <c r="O19" s="62"/>
      <c r="P19" s="71"/>
      <c r="Q19" s="1"/>
      <c r="R19" s="1"/>
      <c r="S19" s="1"/>
      <c r="T19" s="1"/>
      <c r="U19" s="1"/>
      <c r="V19" s="1"/>
      <c r="W19" s="1"/>
      <c r="X19" s="1"/>
      <c r="Y19" s="1"/>
      <c r="Z19" s="1"/>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c r="JK19" s="2"/>
      <c r="JL19" s="2"/>
      <c r="JM19" s="2"/>
      <c r="JN19" s="2"/>
      <c r="JO19" s="2"/>
      <c r="JP19" s="2"/>
      <c r="JQ19" s="2"/>
      <c r="JR19" s="2"/>
      <c r="JS19" s="2"/>
      <c r="JT19" s="2"/>
      <c r="JU19" s="2"/>
      <c r="JV19" s="2"/>
      <c r="JW19" s="2"/>
      <c r="JX19" s="2"/>
      <c r="JY19" s="2"/>
      <c r="JZ19" s="2"/>
      <c r="KA19" s="2"/>
      <c r="KB19" s="2"/>
      <c r="KC19" s="2"/>
      <c r="KD19" s="2"/>
      <c r="KE19" s="2"/>
      <c r="KF19" s="2"/>
      <c r="KG19" s="2"/>
      <c r="KH19" s="2"/>
      <c r="KI19" s="2"/>
      <c r="KJ19" s="2"/>
      <c r="KK19" s="2"/>
      <c r="KL19" s="2"/>
      <c r="KM19" s="2"/>
      <c r="KN19" s="2"/>
      <c r="KO19" s="2"/>
      <c r="KP19" s="2"/>
      <c r="KQ19" s="2"/>
      <c r="KR19" s="2"/>
      <c r="KS19" s="2"/>
      <c r="KT19" s="2"/>
      <c r="KU19" s="2"/>
      <c r="KV19" s="2"/>
      <c r="KW19" s="2"/>
      <c r="KX19" s="2"/>
      <c r="KY19" s="2"/>
      <c r="KZ19" s="3"/>
      <c r="LA19" s="3"/>
    </row>
    <row r="20" spans="1:313" ht="24" customHeight="1" x14ac:dyDescent="0.2">
      <c r="A20" s="8" t="s">
        <v>28</v>
      </c>
      <c r="B20" s="8"/>
      <c r="C20" s="8"/>
      <c r="D20" s="8"/>
      <c r="E20" s="8"/>
      <c r="F20" s="8"/>
      <c r="G20" s="8"/>
      <c r="H20" s="8"/>
      <c r="I20" s="8"/>
      <c r="J20" s="8"/>
      <c r="K20" s="8"/>
      <c r="L20" s="8"/>
      <c r="M20" s="8"/>
      <c r="N20" s="8"/>
      <c r="O20" s="1"/>
      <c r="P20" s="1"/>
      <c r="Q20" s="1"/>
      <c r="R20" s="1"/>
      <c r="S20" s="1"/>
      <c r="T20" s="1"/>
      <c r="U20" s="1"/>
      <c r="V20" s="1"/>
      <c r="W20" s="1"/>
      <c r="X20" s="1"/>
      <c r="Y20" s="1"/>
      <c r="Z20" s="1"/>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c r="IW20" s="2"/>
      <c r="IX20" s="2"/>
      <c r="IY20" s="2"/>
      <c r="IZ20" s="2"/>
      <c r="JA20" s="2"/>
      <c r="JB20" s="2"/>
      <c r="JC20" s="2"/>
      <c r="JD20" s="2"/>
      <c r="JE20" s="2"/>
      <c r="JF20" s="2"/>
      <c r="JG20" s="2"/>
      <c r="JH20" s="2"/>
      <c r="JI20" s="2"/>
      <c r="JJ20" s="2"/>
      <c r="JK20" s="2"/>
      <c r="JL20" s="2"/>
      <c r="JM20" s="2"/>
      <c r="JN20" s="2"/>
      <c r="JO20" s="2"/>
      <c r="JP20" s="2"/>
      <c r="JQ20" s="2"/>
      <c r="JR20" s="2"/>
      <c r="JS20" s="2"/>
      <c r="JT20" s="2"/>
      <c r="JU20" s="2"/>
      <c r="JV20" s="2"/>
      <c r="JW20" s="2"/>
      <c r="JX20" s="2"/>
      <c r="JY20" s="2"/>
      <c r="JZ20" s="2"/>
      <c r="KA20" s="2"/>
      <c r="KB20" s="2"/>
      <c r="KC20" s="2"/>
      <c r="KD20" s="2"/>
      <c r="KE20" s="2"/>
      <c r="KF20" s="2"/>
      <c r="KG20" s="2"/>
      <c r="KH20" s="2"/>
      <c r="KI20" s="2"/>
      <c r="KJ20" s="2"/>
      <c r="KK20" s="2"/>
      <c r="KL20" s="2"/>
      <c r="KM20" s="2"/>
      <c r="KN20" s="2"/>
      <c r="KO20" s="2"/>
      <c r="KP20" s="2"/>
      <c r="KQ20" s="2"/>
      <c r="KR20" s="2"/>
      <c r="KS20" s="2"/>
      <c r="KT20" s="2"/>
      <c r="KU20" s="2"/>
      <c r="KV20" s="2"/>
      <c r="KW20" s="2"/>
      <c r="KX20" s="2"/>
      <c r="KY20" s="2"/>
      <c r="KZ20" s="3">
        <v>18</v>
      </c>
      <c r="LA20" s="3" t="s">
        <v>29</v>
      </c>
    </row>
    <row r="21" spans="1:313" ht="24" customHeight="1" x14ac:dyDescent="0.2">
      <c r="A21" s="2" t="str">
        <f>'1 ASP REFERRALS'!A1</f>
        <v>Indicator 1</v>
      </c>
      <c r="B21" s="2"/>
      <c r="C21" s="2" t="str">
        <f>('1 ASP REFERRALS'!C1)</f>
        <v>ASP REFERRALS SUBMITTED TO ADULT PROTECTION SERVICE (BY SOURCE)</v>
      </c>
      <c r="D21" s="2"/>
      <c r="E21" s="2"/>
      <c r="F21" s="2"/>
      <c r="G21" s="2"/>
      <c r="H21" s="2"/>
      <c r="I21" s="2"/>
      <c r="J21" s="2"/>
      <c r="K21" s="2"/>
      <c r="L21" s="2"/>
      <c r="M21" s="2"/>
      <c r="N21" s="2"/>
      <c r="O21" s="2"/>
      <c r="P21" s="1"/>
      <c r="Q21" s="1"/>
      <c r="R21" s="1"/>
      <c r="S21" s="1"/>
      <c r="T21" s="1"/>
      <c r="U21" s="1"/>
      <c r="V21" s="1"/>
      <c r="W21" s="1"/>
      <c r="X21" s="1"/>
      <c r="Y21" s="1"/>
      <c r="Z21" s="1"/>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2"/>
      <c r="KM21" s="2"/>
      <c r="KN21" s="2"/>
      <c r="KO21" s="2"/>
      <c r="KP21" s="2"/>
      <c r="KQ21" s="2"/>
      <c r="KR21" s="2"/>
      <c r="KS21" s="2"/>
      <c r="KT21" s="2"/>
      <c r="KU21" s="2"/>
      <c r="KV21" s="2"/>
      <c r="KW21" s="2"/>
      <c r="KX21" s="2"/>
      <c r="KY21" s="2"/>
      <c r="KZ21" s="3">
        <v>19</v>
      </c>
      <c r="LA21" s="3" t="s">
        <v>30</v>
      </c>
    </row>
    <row r="22" spans="1:313" ht="24" customHeight="1" x14ac:dyDescent="0.2">
      <c r="A22" s="2" t="str">
        <f>'2-3 INQUIRIES'!A1</f>
        <v>Indicator 2</v>
      </c>
      <c r="B22" s="2"/>
      <c r="C22" s="2" t="str">
        <f>'2-3 INQUIRIES'!C1</f>
        <v>INQUIRIES UNDERTAKEN WITHOUT THE USE OF INVESTIGATORY POWERS</v>
      </c>
      <c r="D22" s="2"/>
      <c r="E22" s="2"/>
      <c r="F22" s="2"/>
      <c r="G22" s="2"/>
      <c r="H22" s="2"/>
      <c r="I22" s="2"/>
      <c r="J22" s="2"/>
      <c r="K22" s="2"/>
      <c r="L22" s="2"/>
      <c r="M22" s="2"/>
      <c r="N22" s="2"/>
      <c r="O22" s="2"/>
      <c r="P22" s="1"/>
      <c r="Q22" s="1"/>
      <c r="R22" s="1"/>
      <c r="S22" s="1"/>
      <c r="T22" s="1"/>
      <c r="U22" s="1"/>
      <c r="V22" s="1"/>
      <c r="W22" s="1"/>
      <c r="X22" s="1"/>
      <c r="Y22" s="1"/>
      <c r="Z22" s="1"/>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c r="KR22" s="2"/>
      <c r="KS22" s="2"/>
      <c r="KT22" s="2"/>
      <c r="KU22" s="2"/>
      <c r="KV22" s="2"/>
      <c r="KW22" s="2"/>
      <c r="KX22" s="2"/>
      <c r="KY22" s="2"/>
      <c r="KZ22" s="3">
        <v>20</v>
      </c>
      <c r="LA22" s="3" t="s">
        <v>31</v>
      </c>
    </row>
    <row r="23" spans="1:313" ht="24" customHeight="1" x14ac:dyDescent="0.2">
      <c r="A23" s="2" t="str">
        <f>'2-3 INQUIRIES'!A2</f>
        <v>Indicator 3</v>
      </c>
      <c r="B23" s="2"/>
      <c r="C23" s="2" t="str">
        <f>'2-3 INQUIRIES'!C2</f>
        <v>INQUIRIES UNDERTAKEN WITH THE USE OF INVESTIGATORY POWERS</v>
      </c>
      <c r="D23" s="2"/>
      <c r="E23" s="2"/>
      <c r="F23" s="2"/>
      <c r="G23" s="2"/>
      <c r="H23" s="2"/>
      <c r="I23" s="2"/>
      <c r="J23" s="2"/>
      <c r="K23" s="2"/>
      <c r="L23" s="2"/>
      <c r="M23" s="2"/>
      <c r="N23" s="2"/>
      <c r="O23" s="2"/>
      <c r="P23" s="1"/>
      <c r="Q23" s="1"/>
      <c r="R23" s="1"/>
      <c r="S23" s="1"/>
      <c r="T23" s="1"/>
      <c r="U23" s="1"/>
      <c r="V23" s="1"/>
      <c r="W23" s="1"/>
      <c r="X23" s="1"/>
      <c r="Y23" s="1"/>
      <c r="Z23" s="1"/>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Q23" s="2"/>
      <c r="JR23" s="2"/>
      <c r="JS23" s="2"/>
      <c r="JT23" s="2"/>
      <c r="JU23" s="2"/>
      <c r="JV23" s="2"/>
      <c r="JW23" s="2"/>
      <c r="JX23" s="2"/>
      <c r="JY23" s="2"/>
      <c r="JZ23" s="2"/>
      <c r="KA23" s="2"/>
      <c r="KB23" s="2"/>
      <c r="KC23" s="2"/>
      <c r="KD23" s="2"/>
      <c r="KE23" s="2"/>
      <c r="KF23" s="2"/>
      <c r="KG23" s="2"/>
      <c r="KH23" s="2"/>
      <c r="KI23" s="2"/>
      <c r="KJ23" s="2"/>
      <c r="KK23" s="2"/>
      <c r="KL23" s="2"/>
      <c r="KM23" s="2"/>
      <c r="KN23" s="2"/>
      <c r="KO23" s="2"/>
      <c r="KP23" s="2"/>
      <c r="KQ23" s="2"/>
      <c r="KR23" s="2"/>
      <c r="KS23" s="2"/>
      <c r="KT23" s="2"/>
      <c r="KU23" s="2"/>
      <c r="KV23" s="2"/>
      <c r="KW23" s="2"/>
      <c r="KX23" s="2"/>
      <c r="KY23" s="2"/>
      <c r="KZ23" s="3">
        <v>21</v>
      </c>
      <c r="LA23" s="3" t="s">
        <v>32</v>
      </c>
    </row>
    <row r="24" spans="1:313" ht="24" customHeight="1" x14ac:dyDescent="0.2">
      <c r="A24" s="68" t="str">
        <f>'Conversion data'!A1</f>
        <v>Supplemental</v>
      </c>
      <c r="B24" s="68"/>
      <c r="C24" s="68" t="str">
        <f>'Conversion data'!C1</f>
        <v>CONVERSION RATES OF REFERRALS TO INQUIRIES</v>
      </c>
      <c r="D24" s="68"/>
      <c r="E24" s="68"/>
      <c r="F24" s="68"/>
      <c r="G24" s="68"/>
      <c r="H24" s="68"/>
      <c r="I24" s="68"/>
      <c r="J24" s="68"/>
      <c r="K24" s="68"/>
      <c r="L24" s="68"/>
      <c r="M24" s="68"/>
      <c r="N24" s="68"/>
      <c r="O24" s="2"/>
      <c r="P24" s="1"/>
      <c r="Q24" s="1"/>
      <c r="R24" s="1"/>
      <c r="S24" s="1"/>
      <c r="T24" s="1"/>
      <c r="U24" s="1"/>
      <c r="V24" s="1"/>
      <c r="W24" s="1"/>
      <c r="X24" s="1"/>
      <c r="Y24" s="1"/>
      <c r="Z24" s="1"/>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2"/>
      <c r="KM24" s="2"/>
      <c r="KN24" s="2"/>
      <c r="KO24" s="2"/>
      <c r="KP24" s="2"/>
      <c r="KQ24" s="2"/>
      <c r="KR24" s="2"/>
      <c r="KS24" s="2"/>
      <c r="KT24" s="2"/>
      <c r="KU24" s="2"/>
      <c r="KV24" s="2"/>
      <c r="KW24" s="2"/>
      <c r="KX24" s="2"/>
      <c r="KY24" s="2"/>
      <c r="KZ24" s="3"/>
      <c r="LA24" s="3"/>
    </row>
    <row r="25" spans="1:313" ht="24" customHeight="1" x14ac:dyDescent="0.2">
      <c r="A25" s="8" t="s">
        <v>33</v>
      </c>
      <c r="B25" s="8"/>
      <c r="C25" s="8"/>
      <c r="D25" s="8"/>
      <c r="E25" s="8"/>
      <c r="F25" s="8"/>
      <c r="G25" s="8"/>
      <c r="H25" s="8"/>
      <c r="I25" s="8"/>
      <c r="J25" s="8"/>
      <c r="K25" s="8"/>
      <c r="L25" s="8"/>
      <c r="M25" s="8"/>
      <c r="N25" s="8"/>
      <c r="O25" s="2"/>
      <c r="P25" s="1"/>
      <c r="Q25" s="1"/>
      <c r="R25" s="1"/>
      <c r="S25" s="1"/>
      <c r="T25" s="1"/>
      <c r="U25" s="1"/>
      <c r="V25" s="1"/>
      <c r="W25" s="1"/>
      <c r="X25" s="1"/>
      <c r="Y25" s="1"/>
      <c r="Z25" s="1"/>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2"/>
      <c r="KM25" s="2"/>
      <c r="KN25" s="2"/>
      <c r="KO25" s="2"/>
      <c r="KP25" s="2"/>
      <c r="KQ25" s="2"/>
      <c r="KR25" s="2"/>
      <c r="KS25" s="2"/>
      <c r="KT25" s="2"/>
      <c r="KU25" s="2"/>
      <c r="KV25" s="2"/>
      <c r="KW25" s="2"/>
      <c r="KX25" s="2"/>
      <c r="KY25" s="2"/>
      <c r="KZ25" s="3">
        <v>22</v>
      </c>
      <c r="LA25" s="3" t="s">
        <v>34</v>
      </c>
    </row>
    <row r="26" spans="1:313" ht="24" customHeight="1" x14ac:dyDescent="0.2">
      <c r="A26" s="2" t="str">
        <f t="array" ref="A26:A27">'4 CCs'!A1:A2</f>
        <v>Indicator 4a</v>
      </c>
      <c r="B26" s="2"/>
      <c r="C26" s="2" t="str">
        <f t="array" ref="C26:C27">('4 CCs'!C1:C2)</f>
        <v>INITIAL CASE CONFERENCES</v>
      </c>
      <c r="D26" s="2"/>
      <c r="E26" s="2"/>
      <c r="F26" s="2"/>
      <c r="G26" s="2"/>
      <c r="H26" s="2"/>
      <c r="I26" s="2"/>
      <c r="J26" s="2"/>
      <c r="K26" s="2"/>
      <c r="L26" s="2"/>
      <c r="M26" s="2"/>
      <c r="N26" s="2"/>
      <c r="O26" s="2"/>
      <c r="P26" s="1"/>
      <c r="Q26" s="1"/>
      <c r="R26" s="1"/>
      <c r="S26" s="1"/>
      <c r="T26" s="1"/>
      <c r="U26" s="1"/>
      <c r="V26" s="1"/>
      <c r="W26" s="1"/>
      <c r="X26" s="1"/>
      <c r="Y26" s="1"/>
      <c r="Z26" s="1"/>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2"/>
      <c r="KM26" s="2"/>
      <c r="KN26" s="2"/>
      <c r="KO26" s="2"/>
      <c r="KP26" s="2"/>
      <c r="KQ26" s="2"/>
      <c r="KR26" s="2"/>
      <c r="KS26" s="2"/>
      <c r="KT26" s="2"/>
      <c r="KU26" s="2"/>
      <c r="KV26" s="2"/>
      <c r="KW26" s="2"/>
      <c r="KX26" s="2"/>
      <c r="KY26" s="2"/>
      <c r="KZ26" s="3">
        <v>23</v>
      </c>
      <c r="LA26" s="2" t="s">
        <v>35</v>
      </c>
    </row>
    <row r="27" spans="1:313" ht="24" customHeight="1" x14ac:dyDescent="0.2">
      <c r="A27" s="2" t="str">
        <v>Indicator 4b</v>
      </c>
      <c r="B27" s="2"/>
      <c r="C27" s="2" t="str">
        <v>REVIEW CASE CONFERENCES</v>
      </c>
      <c r="D27" s="2"/>
      <c r="E27" s="2"/>
      <c r="F27" s="2"/>
      <c r="G27" s="2"/>
      <c r="H27" s="2"/>
      <c r="I27" s="2"/>
      <c r="J27" s="2"/>
      <c r="K27" s="2"/>
      <c r="L27" s="2"/>
      <c r="M27" s="2"/>
      <c r="N27" s="2"/>
      <c r="O27" s="2"/>
      <c r="P27" s="1"/>
      <c r="Q27" s="1"/>
      <c r="R27" s="1"/>
      <c r="S27" s="1"/>
      <c r="T27" s="1"/>
      <c r="U27" s="1"/>
      <c r="V27" s="1"/>
      <c r="W27" s="1"/>
      <c r="X27" s="1"/>
      <c r="Y27" s="1"/>
      <c r="Z27" s="1"/>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2"/>
      <c r="KM27" s="2"/>
      <c r="KN27" s="2"/>
      <c r="KO27" s="2"/>
      <c r="KP27" s="2"/>
      <c r="KQ27" s="2"/>
      <c r="KR27" s="2"/>
      <c r="KS27" s="2"/>
      <c r="KT27" s="2"/>
      <c r="KU27" s="2"/>
      <c r="KV27" s="2"/>
      <c r="KW27" s="2"/>
      <c r="KX27" s="2"/>
      <c r="KY27" s="2"/>
      <c r="KZ27" s="3">
        <v>24</v>
      </c>
      <c r="LA27" s="3" t="s">
        <v>38</v>
      </c>
    </row>
    <row r="28" spans="1:313" ht="24" customHeight="1" x14ac:dyDescent="0.2">
      <c r="A28" s="2" t="str">
        <f t="array" ref="A28:A31">'5-7 CC ATTENDEES'!A1:A4</f>
        <v>Indicator 5a</v>
      </c>
      <c r="B28" s="2"/>
      <c r="C28" s="2" t="str">
        <f t="array" ref="C28:C31">('5-7 CC ATTENDEES'!C1:C4)</f>
        <v>ADULTS AT RISK INVITED TO ATTEND A CASE CONFERENCE (TOTAL)</v>
      </c>
      <c r="D28" s="2"/>
      <c r="E28" s="2"/>
      <c r="F28" s="2"/>
      <c r="G28" s="2"/>
      <c r="H28" s="2"/>
      <c r="I28" s="2"/>
      <c r="J28" s="2"/>
      <c r="K28" s="2"/>
      <c r="L28" s="2"/>
      <c r="M28" s="2"/>
      <c r="N28" s="2"/>
      <c r="O28" s="2"/>
      <c r="P28" s="1"/>
      <c r="Q28" s="1"/>
      <c r="R28" s="1"/>
      <c r="S28" s="1"/>
      <c r="T28" s="1"/>
      <c r="U28" s="1"/>
      <c r="V28" s="1"/>
      <c r="W28" s="1"/>
      <c r="X28" s="1"/>
      <c r="Y28" s="1"/>
      <c r="Z28" s="1"/>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3">
        <v>25</v>
      </c>
      <c r="LA28" s="3" t="s">
        <v>39</v>
      </c>
    </row>
    <row r="29" spans="1:313" ht="24" customHeight="1" x14ac:dyDescent="0.2">
      <c r="A29" s="2" t="str">
        <v>Indicator 5b</v>
      </c>
      <c r="B29" s="2"/>
      <c r="C29" s="2" t="str">
        <v>ADULTS AT RISK INVITED TO ATTEND A CASE CONFERENCE (PERCENTAGE UPTAKE)</v>
      </c>
      <c r="D29" s="2"/>
      <c r="E29" s="2"/>
      <c r="F29" s="2"/>
      <c r="G29" s="2"/>
      <c r="H29" s="2"/>
      <c r="I29" s="2"/>
      <c r="J29" s="2"/>
      <c r="K29" s="2"/>
      <c r="L29" s="2"/>
      <c r="M29" s="2"/>
      <c r="N29" s="2"/>
      <c r="O29" s="2"/>
      <c r="P29" s="1"/>
      <c r="Q29" s="1"/>
      <c r="R29" s="1"/>
      <c r="S29" s="1"/>
      <c r="T29" s="1"/>
      <c r="U29" s="1"/>
      <c r="V29" s="1"/>
      <c r="W29" s="1"/>
      <c r="X29" s="1"/>
      <c r="Y29" s="1"/>
      <c r="Z29" s="1"/>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c r="KR29" s="2"/>
      <c r="KS29" s="2"/>
      <c r="KT29" s="2"/>
      <c r="KU29" s="2"/>
      <c r="KV29" s="2"/>
      <c r="KW29" s="2"/>
      <c r="KX29" s="2"/>
      <c r="KY29" s="2"/>
      <c r="KZ29" s="3">
        <v>26</v>
      </c>
      <c r="LA29" s="3" t="s">
        <v>41</v>
      </c>
    </row>
    <row r="30" spans="1:313" ht="24" customHeight="1" x14ac:dyDescent="0.2">
      <c r="A30" s="2" t="str">
        <v>Indicator 6a</v>
      </c>
      <c r="B30" s="2"/>
      <c r="C30" s="2" t="str">
        <v xml:space="preserve">INDEPENDENT ADVOCATES INVITED TO ATTEND A CASE CONFERENCE (TOTAL) </v>
      </c>
      <c r="D30" s="2"/>
      <c r="E30" s="2"/>
      <c r="F30" s="2"/>
      <c r="G30" s="2"/>
      <c r="H30" s="2"/>
      <c r="I30" s="2"/>
      <c r="J30" s="2"/>
      <c r="K30" s="2"/>
      <c r="L30" s="2"/>
      <c r="M30" s="2"/>
      <c r="N30" s="2"/>
      <c r="O30" s="2"/>
      <c r="P30" s="1"/>
      <c r="Q30" s="1"/>
      <c r="R30" s="1"/>
      <c r="S30" s="7"/>
      <c r="T30" s="1"/>
      <c r="U30" s="1"/>
      <c r="V30" s="1"/>
      <c r="W30" s="1"/>
      <c r="X30" s="1"/>
      <c r="Y30" s="1"/>
      <c r="Z30" s="1"/>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2"/>
      <c r="KM30" s="2"/>
      <c r="KN30" s="2"/>
      <c r="KO30" s="2"/>
      <c r="KP30" s="2"/>
      <c r="KQ30" s="2"/>
      <c r="KR30" s="2"/>
      <c r="KS30" s="2"/>
      <c r="KT30" s="2"/>
      <c r="KU30" s="2"/>
      <c r="KV30" s="2"/>
      <c r="KW30" s="2"/>
      <c r="KX30" s="2"/>
      <c r="KY30" s="2"/>
      <c r="KZ30" s="3">
        <v>27</v>
      </c>
      <c r="LA30" s="3" t="s">
        <v>44</v>
      </c>
    </row>
    <row r="31" spans="1:313" ht="24" customHeight="1" x14ac:dyDescent="0.2">
      <c r="A31" s="2" t="str">
        <v>Indicator 6b</v>
      </c>
      <c r="B31" s="2"/>
      <c r="C31" s="2" t="str">
        <v>INDEPENDENT ADVOCATES INVITED TO ATTEND A CASE CONFERENCE (PERCENTAGE UPTAKE)</v>
      </c>
      <c r="D31" s="2"/>
      <c r="E31" s="2"/>
      <c r="F31" s="2"/>
      <c r="G31" s="2"/>
      <c r="H31" s="2"/>
      <c r="I31" s="2"/>
      <c r="J31" s="2"/>
      <c r="K31" s="2"/>
      <c r="L31" s="2"/>
      <c r="M31" s="2"/>
      <c r="N31" s="2"/>
      <c r="O31" s="2"/>
      <c r="P31" s="1"/>
      <c r="Q31" s="1"/>
      <c r="R31" s="1"/>
      <c r="S31" s="1"/>
      <c r="T31" s="1"/>
      <c r="U31" s="1"/>
      <c r="V31" s="1"/>
      <c r="W31" s="1"/>
      <c r="X31" s="1"/>
      <c r="Y31" s="1"/>
      <c r="Z31" s="1"/>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3">
        <v>28</v>
      </c>
      <c r="LA31" s="3" t="s">
        <v>47</v>
      </c>
    </row>
    <row r="32" spans="1:313" ht="24" customHeight="1" x14ac:dyDescent="0.2">
      <c r="A32" s="8" t="s">
        <v>48</v>
      </c>
      <c r="B32" s="8"/>
      <c r="C32" s="8"/>
      <c r="D32" s="8"/>
      <c r="E32" s="8"/>
      <c r="F32" s="8"/>
      <c r="G32" s="8"/>
      <c r="H32" s="8"/>
      <c r="I32" s="8"/>
      <c r="J32" s="8"/>
      <c r="K32" s="8"/>
      <c r="L32" s="8"/>
      <c r="M32" s="8"/>
      <c r="N32" s="8"/>
      <c r="O32" s="2"/>
      <c r="P32" s="1"/>
      <c r="Q32" s="1"/>
      <c r="R32" s="1"/>
      <c r="S32" s="1"/>
      <c r="T32" s="1"/>
      <c r="U32" s="1"/>
      <c r="V32" s="1"/>
      <c r="W32" s="1"/>
      <c r="X32" s="1"/>
      <c r="Y32" s="1"/>
      <c r="Z32" s="1"/>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3">
        <v>29</v>
      </c>
      <c r="LA32" s="3" t="s">
        <v>49</v>
      </c>
    </row>
    <row r="33" spans="1:313" ht="24" customHeight="1" x14ac:dyDescent="0.2">
      <c r="A33" s="2" t="str">
        <f>'8-9 ASPPs &amp; POWERS'!A1</f>
        <v>Indicator 8a</v>
      </c>
      <c r="B33" s="2"/>
      <c r="C33" s="2" t="str">
        <f>('8-9 ASPPs &amp; POWERS'!C1)</f>
        <v>NUMBER OF ADULTS ON ASPPs IN TOTAL AT END OF QUARTER</v>
      </c>
      <c r="D33" s="2"/>
      <c r="E33" s="2"/>
      <c r="F33" s="2"/>
      <c r="G33" s="2"/>
      <c r="H33" s="2"/>
      <c r="I33" s="2"/>
      <c r="J33" s="2"/>
      <c r="K33" s="2"/>
      <c r="L33" s="2"/>
      <c r="M33" s="2"/>
      <c r="N33" s="2"/>
      <c r="O33" s="2"/>
      <c r="P33" s="1"/>
      <c r="Q33" s="1"/>
      <c r="R33" s="1"/>
      <c r="S33" s="1"/>
      <c r="T33" s="1"/>
      <c r="U33" s="1"/>
      <c r="V33" s="1"/>
      <c r="W33" s="1"/>
      <c r="X33" s="1"/>
      <c r="Y33" s="1"/>
      <c r="Z33" s="1"/>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c r="KW33" s="2"/>
      <c r="KX33" s="2"/>
      <c r="KY33" s="2"/>
      <c r="KZ33" s="3">
        <v>30</v>
      </c>
      <c r="LA33" s="3" t="s">
        <v>50</v>
      </c>
    </row>
    <row r="34" spans="1:313" ht="24" customHeight="1" x14ac:dyDescent="0.2">
      <c r="A34" s="2" t="str">
        <f>'8-9 ASPPs &amp; POWERS'!A2</f>
        <v>Indicator 8b</v>
      </c>
      <c r="B34" s="2"/>
      <c r="C34" s="2" t="str">
        <f>('8-9 ASPPs &amp; POWERS'!C2)</f>
        <v>NUMBER OF ADULTS WITH NEWLY COMMENCED ASPPs WITHIN QUARTER ONLY</v>
      </c>
      <c r="D34" s="2"/>
      <c r="E34" s="2"/>
      <c r="F34" s="2"/>
      <c r="G34" s="2"/>
      <c r="H34" s="2"/>
      <c r="I34" s="2"/>
      <c r="J34" s="2"/>
      <c r="K34" s="2"/>
      <c r="L34" s="2"/>
      <c r="M34" s="2"/>
      <c r="N34" s="2"/>
      <c r="O34" s="2"/>
      <c r="P34" s="1"/>
      <c r="Q34" s="1"/>
      <c r="R34" s="1"/>
      <c r="S34" s="1"/>
      <c r="T34" s="1"/>
      <c r="U34" s="1"/>
      <c r="V34" s="1"/>
      <c r="W34" s="1"/>
      <c r="X34" s="1"/>
      <c r="Y34" s="1"/>
      <c r="Z34" s="1"/>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2"/>
      <c r="KM34" s="2"/>
      <c r="KN34" s="2"/>
      <c r="KO34" s="2"/>
      <c r="KP34" s="2"/>
      <c r="KQ34" s="2"/>
      <c r="KR34" s="2"/>
      <c r="KS34" s="2"/>
      <c r="KT34" s="2"/>
      <c r="KU34" s="2"/>
      <c r="KV34" s="2"/>
      <c r="KW34" s="2"/>
      <c r="KX34" s="2"/>
      <c r="KY34" s="2"/>
      <c r="KZ34" s="3">
        <v>31</v>
      </c>
      <c r="LA34" s="3" t="s">
        <v>51</v>
      </c>
    </row>
    <row r="35" spans="1:313" ht="24" customHeight="1" x14ac:dyDescent="0.2">
      <c r="A35" s="2" t="str">
        <f>'8-9 ASPPs &amp; POWERS'!A3</f>
        <v>Indicator 9a</v>
      </c>
      <c r="B35" s="2"/>
      <c r="C35" s="2" t="str">
        <f>('8-9 ASPPs &amp; POWERS'!C3)</f>
        <v>PROTECTION ORDERS (APPLIED FOR)</v>
      </c>
      <c r="D35" s="2"/>
      <c r="E35" s="2"/>
      <c r="F35" s="2"/>
      <c r="G35" s="2"/>
      <c r="H35" s="2"/>
      <c r="I35" s="2"/>
      <c r="J35" s="2"/>
      <c r="K35" s="2"/>
      <c r="L35" s="2"/>
      <c r="M35" s="2"/>
      <c r="N35" s="2"/>
      <c r="O35" s="2"/>
      <c r="P35" s="1"/>
      <c r="Q35" s="1"/>
      <c r="R35" s="1"/>
      <c r="S35" s="1"/>
      <c r="T35" s="1"/>
      <c r="U35" s="1"/>
      <c r="V35" s="1"/>
      <c r="W35" s="1"/>
      <c r="X35" s="1"/>
      <c r="Y35" s="1"/>
      <c r="Z35" s="1"/>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2"/>
      <c r="KG35" s="2"/>
      <c r="KH35" s="2"/>
      <c r="KI35" s="2"/>
      <c r="KJ35" s="2"/>
      <c r="KK35" s="2"/>
      <c r="KL35" s="2"/>
      <c r="KM35" s="2"/>
      <c r="KN35" s="2"/>
      <c r="KO35" s="2"/>
      <c r="KP35" s="2"/>
      <c r="KQ35" s="2"/>
      <c r="KR35" s="2"/>
      <c r="KS35" s="2"/>
      <c r="KT35" s="2"/>
      <c r="KU35" s="2"/>
      <c r="KV35" s="2"/>
      <c r="KW35" s="2"/>
      <c r="KX35" s="2"/>
      <c r="KY35" s="2"/>
      <c r="KZ35" s="3">
        <v>32</v>
      </c>
      <c r="LA35" s="2" t="s">
        <v>52</v>
      </c>
    </row>
    <row r="36" spans="1:313" ht="24" customHeight="1" x14ac:dyDescent="0.2">
      <c r="A36" s="2" t="str">
        <f>'8-9 ASPPs &amp; POWERS'!A4</f>
        <v>Indicator 9b</v>
      </c>
      <c r="B36" s="2"/>
      <c r="C36" s="2" t="str">
        <f>('8-9 ASPPs &amp; POWERS'!C4)</f>
        <v>PROTECTION ORDERS (GRANTED)</v>
      </c>
      <c r="D36" s="2"/>
      <c r="E36" s="2"/>
      <c r="F36" s="2"/>
      <c r="G36" s="2"/>
      <c r="H36" s="2"/>
      <c r="I36" s="2"/>
      <c r="J36" s="2"/>
      <c r="K36" s="2"/>
      <c r="L36" s="2"/>
      <c r="M36" s="2"/>
      <c r="N36" s="2"/>
      <c r="O36" s="2"/>
      <c r="P36" s="1"/>
      <c r="Q36" s="1"/>
      <c r="R36" s="1"/>
      <c r="S36" s="1"/>
      <c r="T36" s="1"/>
      <c r="U36" s="1"/>
      <c r="V36" s="1"/>
      <c r="W36" s="1"/>
      <c r="X36" s="1"/>
      <c r="Y36" s="1"/>
      <c r="Z36" s="1"/>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2"/>
      <c r="KM36" s="2"/>
      <c r="KN36" s="2"/>
      <c r="KO36" s="2"/>
      <c r="KP36" s="2"/>
      <c r="KQ36" s="2"/>
      <c r="KR36" s="2"/>
      <c r="KS36" s="2"/>
      <c r="KT36" s="2"/>
      <c r="KU36" s="2"/>
      <c r="KV36" s="2"/>
      <c r="KW36" s="2"/>
      <c r="KX36" s="2"/>
      <c r="KY36" s="2"/>
      <c r="KZ36" s="2"/>
      <c r="LA36" s="2"/>
    </row>
    <row r="37" spans="1:313" ht="24" customHeight="1" x14ac:dyDescent="0.2">
      <c r="A37" s="2" t="str">
        <f>'10-11 ACTIONS TAKEN'!A1</f>
        <v>Indicator 10</v>
      </c>
      <c r="B37" s="2"/>
      <c r="C37" s="2" t="str">
        <f>('10-11 ACTIONS TAKEN'!C1)</f>
        <v>ACTION TAKEN FOLLOWING INQUIRIES CONCLUDED WITHOUT THE USE OF INVESTIGATORY POWERS</v>
      </c>
      <c r="D37" s="2"/>
      <c r="E37" s="2"/>
      <c r="F37" s="2"/>
      <c r="G37" s="2"/>
      <c r="H37" s="2"/>
      <c r="I37" s="2"/>
      <c r="J37" s="2"/>
      <c r="K37" s="2"/>
      <c r="L37" s="2"/>
      <c r="M37" s="2"/>
      <c r="N37" s="2"/>
      <c r="O37" s="2"/>
      <c r="P37" s="1"/>
      <c r="Q37" s="1"/>
      <c r="R37" s="1"/>
      <c r="S37" s="1"/>
      <c r="T37" s="1"/>
      <c r="U37" s="1"/>
      <c r="V37" s="1"/>
      <c r="W37" s="1"/>
      <c r="X37" s="1"/>
      <c r="Y37" s="1"/>
      <c r="Z37" s="1"/>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2"/>
      <c r="KM37" s="2"/>
      <c r="KN37" s="2"/>
      <c r="KO37" s="2"/>
      <c r="KP37" s="2"/>
      <c r="KQ37" s="2"/>
      <c r="KR37" s="2"/>
      <c r="KS37" s="2"/>
      <c r="KT37" s="2"/>
      <c r="KU37" s="2"/>
      <c r="KV37" s="2"/>
      <c r="KW37" s="2"/>
      <c r="KX37" s="2"/>
      <c r="KY37" s="2"/>
      <c r="KZ37" s="2"/>
      <c r="LA37" s="2"/>
    </row>
    <row r="38" spans="1:313" ht="24" customHeight="1" x14ac:dyDescent="0.2">
      <c r="A38" s="2" t="str">
        <f>'10-11 ACTIONS TAKEN'!A2</f>
        <v>Indicator 11</v>
      </c>
      <c r="B38" s="2"/>
      <c r="C38" s="2" t="str">
        <f>('10-11 ACTIONS TAKEN'!C2)</f>
        <v>ACTION TAKEN FOLLOWING INQUIRIES USING INVESTIGATORY POWERS</v>
      </c>
      <c r="D38" s="2"/>
      <c r="E38" s="2"/>
      <c r="F38" s="2"/>
      <c r="G38" s="2"/>
      <c r="H38" s="2"/>
      <c r="I38" s="2"/>
      <c r="J38" s="2"/>
      <c r="K38" s="2"/>
      <c r="L38" s="2"/>
      <c r="M38" s="2"/>
      <c r="N38" s="2"/>
      <c r="O38" s="2"/>
      <c r="P38" s="1"/>
      <c r="Q38" s="1"/>
      <c r="R38" s="1"/>
      <c r="S38" s="1"/>
      <c r="T38" s="1"/>
      <c r="U38" s="1"/>
      <c r="V38" s="1"/>
      <c r="W38" s="1"/>
      <c r="X38" s="1"/>
      <c r="Y38" s="1"/>
      <c r="Z38" s="1"/>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c r="JD38" s="2"/>
      <c r="JE38" s="2"/>
      <c r="JF38" s="2"/>
      <c r="JG38" s="2"/>
      <c r="JH38" s="2"/>
      <c r="JI38" s="2"/>
      <c r="JJ38" s="2"/>
      <c r="JK38" s="2"/>
      <c r="JL38" s="2"/>
      <c r="JM38" s="2"/>
      <c r="JN38" s="2"/>
      <c r="JO38" s="2"/>
      <c r="JP38" s="2"/>
      <c r="JQ38" s="2"/>
      <c r="JR38" s="2"/>
      <c r="JS38" s="2"/>
      <c r="JT38" s="2"/>
      <c r="JU38" s="2"/>
      <c r="JV38" s="2"/>
      <c r="JW38" s="2"/>
      <c r="JX38" s="2"/>
      <c r="JY38" s="2"/>
      <c r="JZ38" s="2"/>
      <c r="KA38" s="2"/>
      <c r="KB38" s="2"/>
      <c r="KC38" s="2"/>
      <c r="KD38" s="2"/>
      <c r="KE38" s="2"/>
      <c r="KF38" s="2"/>
      <c r="KG38" s="2"/>
      <c r="KH38" s="2"/>
      <c r="KI38" s="2"/>
      <c r="KJ38" s="2"/>
      <c r="KK38" s="2"/>
      <c r="KL38" s="2"/>
      <c r="KM38" s="2"/>
      <c r="KN38" s="2"/>
      <c r="KO38" s="2"/>
      <c r="KP38" s="2"/>
      <c r="KQ38" s="2"/>
      <c r="KR38" s="2"/>
      <c r="KS38" s="2"/>
      <c r="KT38" s="2"/>
      <c r="KU38" s="2"/>
      <c r="KV38" s="2"/>
      <c r="KW38" s="2"/>
      <c r="KX38" s="2"/>
      <c r="KY38" s="2"/>
      <c r="KZ38" s="2"/>
      <c r="LA38" s="2"/>
    </row>
    <row r="39" spans="1:313" ht="24" customHeight="1" x14ac:dyDescent="0.2">
      <c r="A39" s="8" t="s">
        <v>53</v>
      </c>
      <c r="B39" s="8"/>
      <c r="C39" s="8"/>
      <c r="D39" s="8"/>
      <c r="E39" s="8"/>
      <c r="F39" s="8"/>
      <c r="G39" s="8"/>
      <c r="H39" s="8"/>
      <c r="I39" s="8"/>
      <c r="J39" s="8"/>
      <c r="K39" s="8"/>
      <c r="L39" s="8"/>
      <c r="M39" s="8"/>
      <c r="N39" s="8"/>
      <c r="O39" s="2"/>
      <c r="P39" s="1"/>
      <c r="Q39" s="1"/>
      <c r="R39" s="1"/>
      <c r="S39" s="1"/>
      <c r="T39" s="1"/>
      <c r="U39" s="1"/>
      <c r="V39" s="1"/>
      <c r="W39" s="1"/>
      <c r="X39" s="1"/>
      <c r="Y39" s="1"/>
      <c r="Z39" s="1"/>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c r="KW39" s="2"/>
      <c r="KX39" s="2"/>
      <c r="KY39" s="2"/>
      <c r="KZ39" s="2"/>
      <c r="LA39" s="2"/>
    </row>
    <row r="40" spans="1:313" ht="24" customHeight="1" x14ac:dyDescent="0.2">
      <c r="A40" s="2" t="str">
        <f>'13 AGE &amp; GENDER'!A1</f>
        <v>Indicator 13</v>
      </c>
      <c r="B40" s="2"/>
      <c r="C40" s="2" t="str">
        <f>'13 AGE &amp; GENDER'!C1</f>
        <v>AGE GROUP AND GENDER (FOR ALL INQUIRIES)</v>
      </c>
      <c r="D40" s="2"/>
      <c r="E40" s="2"/>
      <c r="F40" s="2"/>
      <c r="G40" s="2"/>
      <c r="H40" s="2"/>
      <c r="I40" s="2"/>
      <c r="J40" s="2"/>
      <c r="K40" s="2"/>
      <c r="L40" s="2"/>
      <c r="M40" s="2"/>
      <c r="N40" s="2"/>
      <c r="O40" s="2"/>
      <c r="P40" s="1"/>
      <c r="Q40" s="1"/>
      <c r="R40" s="1"/>
      <c r="S40" s="1"/>
      <c r="T40" s="1"/>
      <c r="U40" s="1"/>
      <c r="V40" s="1"/>
      <c r="W40" s="1"/>
      <c r="X40" s="1"/>
      <c r="Y40" s="1"/>
      <c r="Z40" s="1"/>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c r="IW40" s="2"/>
      <c r="IX40" s="2"/>
      <c r="IY40" s="2"/>
      <c r="IZ40" s="2"/>
      <c r="JA40" s="2"/>
      <c r="JB40" s="2"/>
      <c r="JC40" s="2"/>
      <c r="JD40" s="2"/>
      <c r="JE40" s="2"/>
      <c r="JF40" s="2"/>
      <c r="JG40" s="2"/>
      <c r="JH40" s="2"/>
      <c r="JI40" s="2"/>
      <c r="JJ40" s="2"/>
      <c r="JK40" s="2"/>
      <c r="JL40" s="2"/>
      <c r="JM40" s="2"/>
      <c r="JN40" s="2"/>
      <c r="JO40" s="2"/>
      <c r="JP40" s="2"/>
      <c r="JQ40" s="2"/>
      <c r="JR40" s="2"/>
      <c r="JS40" s="2"/>
      <c r="JT40" s="2"/>
      <c r="JU40" s="2"/>
      <c r="JV40" s="2"/>
      <c r="JW40" s="2"/>
      <c r="JX40" s="2"/>
      <c r="JY40" s="2"/>
      <c r="JZ40" s="2"/>
      <c r="KA40" s="2"/>
      <c r="KB40" s="2"/>
      <c r="KC40" s="2"/>
      <c r="KD40" s="2"/>
      <c r="KE40" s="2"/>
      <c r="KF40" s="2"/>
      <c r="KG40" s="2"/>
      <c r="KH40" s="2"/>
      <c r="KI40" s="2"/>
      <c r="KJ40" s="2"/>
      <c r="KK40" s="2"/>
      <c r="KL40" s="2"/>
      <c r="KM40" s="2"/>
      <c r="KN40" s="2"/>
      <c r="KO40" s="2"/>
      <c r="KP40" s="2"/>
      <c r="KQ40" s="2"/>
      <c r="KR40" s="2"/>
      <c r="KS40" s="2"/>
      <c r="KT40" s="2"/>
      <c r="KU40" s="2"/>
      <c r="KV40" s="2"/>
      <c r="KW40" s="2"/>
      <c r="KX40" s="2"/>
      <c r="KY40" s="2"/>
      <c r="KZ40" s="2"/>
      <c r="LA40" s="2"/>
    </row>
    <row r="41" spans="1:313" ht="24" customHeight="1" x14ac:dyDescent="0.2">
      <c r="A41" s="2" t="str">
        <f>'14 ETHNICITY'!A1</f>
        <v>Indicator 14</v>
      </c>
      <c r="B41" s="2"/>
      <c r="C41" s="2" t="str">
        <f>('14 ETHNICITY'!C1)</f>
        <v>ETHNICITY (FOR ALL INQUIRIES)</v>
      </c>
      <c r="D41" s="2"/>
      <c r="E41" s="2"/>
      <c r="F41" s="2"/>
      <c r="G41" s="2"/>
      <c r="H41" s="2"/>
      <c r="I41" s="2"/>
      <c r="J41" s="2"/>
      <c r="K41" s="2"/>
      <c r="L41" s="2"/>
      <c r="M41" s="2"/>
      <c r="N41" s="2"/>
      <c r="O41" s="2"/>
      <c r="P41" s="1"/>
      <c r="Q41" s="1"/>
      <c r="R41" s="1"/>
      <c r="S41" s="1"/>
      <c r="T41" s="1"/>
      <c r="U41" s="1"/>
      <c r="V41" s="1"/>
      <c r="W41" s="1"/>
      <c r="X41" s="1"/>
      <c r="Y41" s="1"/>
      <c r="Z41" s="1"/>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2"/>
      <c r="KM41" s="2"/>
      <c r="KN41" s="2"/>
      <c r="KO41" s="2"/>
      <c r="KP41" s="2"/>
      <c r="KQ41" s="2"/>
      <c r="KR41" s="2"/>
      <c r="KS41" s="2"/>
      <c r="KT41" s="2"/>
      <c r="KU41" s="2"/>
      <c r="KV41" s="2"/>
      <c r="KW41" s="2"/>
      <c r="KX41" s="2"/>
      <c r="KY41" s="2"/>
      <c r="KZ41" s="2"/>
      <c r="LA41" s="2"/>
    </row>
    <row r="42" spans="1:313" ht="24" customHeight="1" x14ac:dyDescent="0.2">
      <c r="A42" s="2" t="str">
        <f>'15 TYPES OF HARM'!A1</f>
        <v>Indicator 15a</v>
      </c>
      <c r="B42" s="2"/>
      <c r="C42" s="2" t="str">
        <f>('15 TYPES OF HARM'!C1)</f>
        <v>PRIMARY TYPE OF HARM (FOR INQUIRIES CONCLUDED WITHOUT THE USE OF INVESTIGATORY POWERS)</v>
      </c>
      <c r="D42" s="2"/>
      <c r="E42" s="2"/>
      <c r="F42" s="2"/>
      <c r="G42" s="2"/>
      <c r="H42" s="2"/>
      <c r="I42" s="2"/>
      <c r="J42" s="2"/>
      <c r="K42" s="2"/>
      <c r="L42" s="2"/>
      <c r="M42" s="2"/>
      <c r="N42" s="2"/>
      <c r="O42" s="2"/>
      <c r="P42" s="1"/>
      <c r="Q42" s="1"/>
      <c r="R42" s="1"/>
      <c r="S42" s="1"/>
      <c r="T42" s="1"/>
      <c r="U42" s="1"/>
      <c r="V42" s="1"/>
      <c r="W42" s="1"/>
      <c r="X42" s="1"/>
      <c r="Y42" s="1"/>
      <c r="Z42" s="1"/>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c r="JD42" s="2"/>
      <c r="JE42" s="2"/>
      <c r="JF42" s="2"/>
      <c r="JG42" s="2"/>
      <c r="JH42" s="2"/>
      <c r="JI42" s="2"/>
      <c r="JJ42" s="2"/>
      <c r="JK42" s="2"/>
      <c r="JL42" s="2"/>
      <c r="JM42" s="2"/>
      <c r="JN42" s="2"/>
      <c r="JO42" s="2"/>
      <c r="JP42" s="2"/>
      <c r="JQ42" s="2"/>
      <c r="JR42" s="2"/>
      <c r="JS42" s="2"/>
      <c r="JT42" s="2"/>
      <c r="JU42" s="2"/>
      <c r="JV42" s="2"/>
      <c r="JW42" s="2"/>
      <c r="JX42" s="2"/>
      <c r="JY42" s="2"/>
      <c r="JZ42" s="2"/>
      <c r="KA42" s="2"/>
      <c r="KB42" s="2"/>
      <c r="KC42" s="2"/>
      <c r="KD42" s="2"/>
      <c r="KE42" s="2"/>
      <c r="KF42" s="2"/>
      <c r="KG42" s="2"/>
      <c r="KH42" s="2"/>
      <c r="KI42" s="2"/>
      <c r="KJ42" s="2"/>
      <c r="KK42" s="2"/>
      <c r="KL42" s="2"/>
      <c r="KM42" s="2"/>
      <c r="KN42" s="2"/>
      <c r="KO42" s="2"/>
      <c r="KP42" s="2"/>
      <c r="KQ42" s="2"/>
      <c r="KR42" s="2"/>
      <c r="KS42" s="2"/>
      <c r="KT42" s="2"/>
      <c r="KU42" s="2"/>
      <c r="KV42" s="2"/>
      <c r="KW42" s="2"/>
      <c r="KX42" s="2"/>
      <c r="KY42" s="2"/>
      <c r="KZ42" s="2"/>
      <c r="LA42" s="2"/>
    </row>
    <row r="43" spans="1:313" ht="24" customHeight="1" x14ac:dyDescent="0.2">
      <c r="A43" s="2" t="str">
        <f>'15 TYPES OF HARM'!A2</f>
        <v>Indicator 15b</v>
      </c>
      <c r="B43" s="2"/>
      <c r="C43" s="2" t="str">
        <f>('15 TYPES OF HARM'!C2)</f>
        <v>PRIMARY TYPE OF HARM (FOR INQUIRIES USING INVESTIGATORY POWERS)</v>
      </c>
      <c r="D43" s="2"/>
      <c r="E43" s="2"/>
      <c r="F43" s="2"/>
      <c r="G43" s="2"/>
      <c r="H43" s="2"/>
      <c r="I43" s="2"/>
      <c r="J43" s="2"/>
      <c r="K43" s="2"/>
      <c r="L43" s="2"/>
      <c r="M43" s="2"/>
      <c r="N43" s="2"/>
      <c r="O43" s="2"/>
      <c r="P43" s="1"/>
      <c r="Q43" s="1"/>
      <c r="R43" s="1"/>
      <c r="S43" s="1"/>
      <c r="T43" s="1"/>
      <c r="U43" s="1"/>
      <c r="V43" s="1"/>
      <c r="W43" s="1"/>
      <c r="X43" s="1"/>
      <c r="Y43" s="1"/>
      <c r="Z43" s="1"/>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c r="IW43" s="2"/>
      <c r="IX43" s="2"/>
      <c r="IY43" s="2"/>
      <c r="IZ43" s="2"/>
      <c r="JA43" s="2"/>
      <c r="JB43" s="2"/>
      <c r="JC43" s="2"/>
      <c r="JD43" s="2"/>
      <c r="JE43" s="2"/>
      <c r="JF43" s="2"/>
      <c r="JG43" s="2"/>
      <c r="JH43" s="2"/>
      <c r="JI43" s="2"/>
      <c r="JJ43" s="2"/>
      <c r="JK43" s="2"/>
      <c r="JL43" s="2"/>
      <c r="JM43" s="2"/>
      <c r="JN43" s="2"/>
      <c r="JO43" s="2"/>
      <c r="JP43" s="2"/>
      <c r="JQ43" s="2"/>
      <c r="JR43" s="2"/>
      <c r="JS43" s="2"/>
      <c r="JT43" s="2"/>
      <c r="JU43" s="2"/>
      <c r="JV43" s="2"/>
      <c r="JW43" s="2"/>
      <c r="JX43" s="2"/>
      <c r="JY43" s="2"/>
      <c r="JZ43" s="2"/>
      <c r="KA43" s="2"/>
      <c r="KB43" s="2"/>
      <c r="KC43" s="2"/>
      <c r="KD43" s="2"/>
      <c r="KE43" s="2"/>
      <c r="KF43" s="2"/>
      <c r="KG43" s="2"/>
      <c r="KH43" s="2"/>
      <c r="KI43" s="2"/>
      <c r="KJ43" s="2"/>
      <c r="KK43" s="2"/>
      <c r="KL43" s="2"/>
      <c r="KM43" s="2"/>
      <c r="KN43" s="2"/>
      <c r="KO43" s="2"/>
      <c r="KP43" s="2"/>
      <c r="KQ43" s="2"/>
      <c r="KR43" s="2"/>
      <c r="KS43" s="2"/>
      <c r="KT43" s="2"/>
      <c r="KU43" s="2"/>
      <c r="KV43" s="2"/>
      <c r="KW43" s="2"/>
      <c r="KX43" s="2"/>
      <c r="KY43" s="2"/>
      <c r="KZ43" s="2"/>
      <c r="LA43" s="2"/>
    </row>
    <row r="44" spans="1:313" ht="24" customHeight="1" x14ac:dyDescent="0.2">
      <c r="A44" s="2" t="str">
        <f>'16 LOCATION OF HARM'!A1</f>
        <v>Indicator 16a</v>
      </c>
      <c r="B44" s="2"/>
      <c r="C44" s="2" t="str">
        <f>('16 LOCATION OF HARM'!C1)</f>
        <v>LOCATION OF HARM (FOR INQUIRIES CONCLUDED WITHOUT THE USE OF INVESTIGATORY POWERS)</v>
      </c>
      <c r="D44" s="2"/>
      <c r="E44" s="2"/>
      <c r="F44" s="2"/>
      <c r="G44" s="2"/>
      <c r="H44" s="2"/>
      <c r="I44" s="2"/>
      <c r="J44" s="2"/>
      <c r="K44" s="2"/>
      <c r="L44" s="2"/>
      <c r="M44" s="2"/>
      <c r="N44" s="2"/>
      <c r="O44" s="2"/>
      <c r="P44" s="1"/>
      <c r="Q44" s="1"/>
      <c r="R44" s="1"/>
      <c r="S44" s="1"/>
      <c r="T44" s="1"/>
      <c r="U44" s="1"/>
      <c r="V44" s="1"/>
      <c r="W44" s="1"/>
      <c r="X44" s="1"/>
      <c r="Y44" s="1"/>
      <c r="Z44" s="1"/>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c r="IW44" s="2"/>
      <c r="IX44" s="2"/>
      <c r="IY44" s="2"/>
      <c r="IZ44" s="2"/>
      <c r="JA44" s="2"/>
      <c r="JB44" s="2"/>
      <c r="JC44" s="2"/>
      <c r="JD44" s="2"/>
      <c r="JE44" s="2"/>
      <c r="JF44" s="2"/>
      <c r="JG44" s="2"/>
      <c r="JH44" s="2"/>
      <c r="JI44" s="2"/>
      <c r="JJ44" s="2"/>
      <c r="JK44" s="2"/>
      <c r="JL44" s="2"/>
      <c r="JM44" s="2"/>
      <c r="JN44" s="2"/>
      <c r="JO44" s="2"/>
      <c r="JP44" s="2"/>
      <c r="JQ44" s="2"/>
      <c r="JR44" s="2"/>
      <c r="JS44" s="2"/>
      <c r="JT44" s="2"/>
      <c r="JU44" s="2"/>
      <c r="JV44" s="2"/>
      <c r="JW44" s="2"/>
      <c r="JX44" s="2"/>
      <c r="JY44" s="2"/>
      <c r="JZ44" s="2"/>
      <c r="KA44" s="2"/>
      <c r="KB44" s="2"/>
      <c r="KC44" s="2"/>
      <c r="KD44" s="2"/>
      <c r="KE44" s="2"/>
      <c r="KF44" s="2"/>
      <c r="KG44" s="2"/>
      <c r="KH44" s="2"/>
      <c r="KI44" s="2"/>
      <c r="KJ44" s="2"/>
      <c r="KK44" s="2"/>
      <c r="KL44" s="2"/>
      <c r="KM44" s="2"/>
      <c r="KN44" s="2"/>
      <c r="KO44" s="2"/>
      <c r="KP44" s="2"/>
      <c r="KQ44" s="2"/>
      <c r="KR44" s="2"/>
      <c r="KS44" s="2"/>
      <c r="KT44" s="2"/>
      <c r="KU44" s="2"/>
      <c r="KV44" s="2"/>
      <c r="KW44" s="2"/>
      <c r="KX44" s="2"/>
      <c r="KY44" s="2"/>
      <c r="KZ44" s="2"/>
      <c r="LA44" s="2"/>
    </row>
    <row r="45" spans="1:313" ht="24" customHeight="1" x14ac:dyDescent="0.2">
      <c r="A45" s="2" t="str">
        <f>'16 LOCATION OF HARM'!A2</f>
        <v>Indicator 16b</v>
      </c>
      <c r="B45" s="2"/>
      <c r="C45" s="2" t="str">
        <f>('16 LOCATION OF HARM'!C2)</f>
        <v>LOCATION OF HARM (FOR INQUIRIES USING INVESTIGATORY POWERS)</v>
      </c>
      <c r="D45" s="2"/>
      <c r="E45" s="2"/>
      <c r="F45" s="2"/>
      <c r="G45" s="2"/>
      <c r="H45" s="2"/>
      <c r="I45" s="2"/>
      <c r="J45" s="2"/>
      <c r="K45" s="2"/>
      <c r="L45" s="2"/>
      <c r="M45" s="2"/>
      <c r="N45" s="2"/>
      <c r="O45" s="2"/>
      <c r="P45" s="1"/>
      <c r="Q45" s="1"/>
      <c r="R45" s="1"/>
      <c r="S45" s="1"/>
      <c r="T45" s="1"/>
      <c r="U45" s="1"/>
      <c r="V45" s="1"/>
      <c r="W45" s="1"/>
      <c r="X45" s="1"/>
      <c r="Y45" s="1"/>
      <c r="Z45" s="1"/>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c r="IW45" s="2"/>
      <c r="IX45" s="2"/>
      <c r="IY45" s="2"/>
      <c r="IZ45" s="2"/>
      <c r="JA45" s="2"/>
      <c r="JB45" s="2"/>
      <c r="JC45" s="2"/>
      <c r="JD45" s="2"/>
      <c r="JE45" s="2"/>
      <c r="JF45" s="2"/>
      <c r="JG45" s="2"/>
      <c r="JH45" s="2"/>
      <c r="JI45" s="2"/>
      <c r="JJ45" s="2"/>
      <c r="JK45" s="2"/>
      <c r="JL45" s="2"/>
      <c r="JM45" s="2"/>
      <c r="JN45" s="2"/>
      <c r="JO45" s="2"/>
      <c r="JP45" s="2"/>
      <c r="JQ45" s="2"/>
      <c r="JR45" s="2"/>
      <c r="JS45" s="2"/>
      <c r="JT45" s="2"/>
      <c r="JU45" s="2"/>
      <c r="JV45" s="2"/>
      <c r="JW45" s="2"/>
      <c r="JX45" s="2"/>
      <c r="JY45" s="2"/>
      <c r="JZ45" s="2"/>
      <c r="KA45" s="2"/>
      <c r="KB45" s="2"/>
      <c r="KC45" s="2"/>
      <c r="KD45" s="2"/>
      <c r="KE45" s="2"/>
      <c r="KF45" s="2"/>
      <c r="KG45" s="2"/>
      <c r="KH45" s="2"/>
      <c r="KI45" s="2"/>
      <c r="KJ45" s="2"/>
      <c r="KK45" s="2"/>
      <c r="KL45" s="2"/>
      <c r="KM45" s="2"/>
      <c r="KN45" s="2"/>
      <c r="KO45" s="2"/>
      <c r="KP45" s="2"/>
      <c r="KQ45" s="2"/>
      <c r="KR45" s="2"/>
      <c r="KS45" s="2"/>
      <c r="KT45" s="2"/>
      <c r="KU45" s="2"/>
      <c r="KV45" s="2"/>
      <c r="KW45" s="2"/>
      <c r="KX45" s="2"/>
      <c r="KY45" s="2"/>
      <c r="KZ45" s="2"/>
      <c r="LA45" s="2"/>
    </row>
    <row r="46" spans="1:313" ht="24" customHeight="1" x14ac:dyDescent="0.2">
      <c r="A46" s="2" t="str">
        <f>'17 CLIENT GROUP'!A1</f>
        <v>Indicator 17a</v>
      </c>
      <c r="B46" s="2"/>
      <c r="C46" s="2" t="str">
        <f>('17 CLIENT GROUP'!C1)</f>
        <v>PRIMARY CLIENT GROUP (FOR INQUIRIES CONCLUDED WITHOUT THE USE OF INVESTIGATORY POWERS)</v>
      </c>
      <c r="D46" s="2"/>
      <c r="E46" s="2"/>
      <c r="F46" s="2"/>
      <c r="G46" s="2"/>
      <c r="H46" s="2"/>
      <c r="I46" s="2"/>
      <c r="J46" s="2"/>
      <c r="K46" s="2"/>
      <c r="L46" s="2"/>
      <c r="M46" s="2"/>
      <c r="N46" s="2"/>
      <c r="O46" s="2"/>
      <c r="P46" s="1"/>
      <c r="Q46" s="1"/>
      <c r="R46" s="1"/>
      <c r="S46" s="1"/>
      <c r="T46" s="1"/>
      <c r="U46" s="1"/>
      <c r="V46" s="1"/>
      <c r="W46" s="1"/>
      <c r="X46" s="1"/>
      <c r="Y46" s="1"/>
      <c r="Z46" s="1"/>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c r="IW46" s="2"/>
      <c r="IX46" s="2"/>
      <c r="IY46" s="2"/>
      <c r="IZ46" s="2"/>
      <c r="JA46" s="2"/>
      <c r="JB46" s="2"/>
      <c r="JC46" s="2"/>
      <c r="JD46" s="2"/>
      <c r="JE46" s="2"/>
      <c r="JF46" s="2"/>
      <c r="JG46" s="2"/>
      <c r="JH46" s="2"/>
      <c r="JI46" s="2"/>
      <c r="JJ46" s="2"/>
      <c r="JK46" s="2"/>
      <c r="JL46" s="2"/>
      <c r="JM46" s="2"/>
      <c r="JN46" s="2"/>
      <c r="JO46" s="2"/>
      <c r="JP46" s="2"/>
      <c r="JQ46" s="2"/>
      <c r="JR46" s="2"/>
      <c r="JS46" s="2"/>
      <c r="JT46" s="2"/>
      <c r="JU46" s="2"/>
      <c r="JV46" s="2"/>
      <c r="JW46" s="2"/>
      <c r="JX46" s="2"/>
      <c r="JY46" s="2"/>
      <c r="JZ46" s="2"/>
      <c r="KA46" s="2"/>
      <c r="KB46" s="2"/>
      <c r="KC46" s="2"/>
      <c r="KD46" s="2"/>
      <c r="KE46" s="2"/>
      <c r="KF46" s="2"/>
      <c r="KG46" s="2"/>
      <c r="KH46" s="2"/>
      <c r="KI46" s="2"/>
      <c r="KJ46" s="2"/>
      <c r="KK46" s="2"/>
      <c r="KL46" s="2"/>
      <c r="KM46" s="2"/>
      <c r="KN46" s="2"/>
      <c r="KO46" s="2"/>
      <c r="KP46" s="2"/>
      <c r="KQ46" s="2"/>
      <c r="KR46" s="2"/>
      <c r="KS46" s="2"/>
      <c r="KT46" s="2"/>
      <c r="KU46" s="2"/>
      <c r="KV46" s="2"/>
      <c r="KW46" s="2"/>
      <c r="KX46" s="2"/>
      <c r="KY46" s="2"/>
      <c r="KZ46" s="2"/>
      <c r="LA46" s="2"/>
    </row>
    <row r="47" spans="1:313" ht="24" customHeight="1" x14ac:dyDescent="0.2">
      <c r="A47" s="2" t="str">
        <f>'17 CLIENT GROUP'!A2</f>
        <v>Indicator 17b</v>
      </c>
      <c r="B47" s="2"/>
      <c r="C47" s="2" t="str">
        <f>('17 CLIENT GROUP'!C2)</f>
        <v>PRIMARY CLIENT GROUP (FOR INQUIRIES USING INVESTIGATORY POWERS)</v>
      </c>
      <c r="D47" s="2"/>
      <c r="E47" s="2"/>
      <c r="F47" s="2"/>
      <c r="G47" s="2"/>
      <c r="H47" s="2"/>
      <c r="I47" s="2"/>
      <c r="J47" s="2"/>
      <c r="K47" s="2"/>
      <c r="L47" s="2"/>
      <c r="M47" s="2"/>
      <c r="N47" s="2"/>
      <c r="O47" s="2"/>
      <c r="P47" s="1"/>
      <c r="Q47" s="1"/>
      <c r="R47" s="1"/>
      <c r="S47" s="1"/>
      <c r="T47" s="1"/>
      <c r="U47" s="1"/>
      <c r="V47" s="1"/>
      <c r="W47" s="1"/>
      <c r="X47" s="1"/>
      <c r="Y47" s="1"/>
      <c r="Z47" s="1"/>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c r="IW47" s="2"/>
      <c r="IX47" s="2"/>
      <c r="IY47" s="2"/>
      <c r="IZ47" s="2"/>
      <c r="JA47" s="2"/>
      <c r="JB47" s="2"/>
      <c r="JC47" s="2"/>
      <c r="JD47" s="2"/>
      <c r="JE47" s="2"/>
      <c r="JF47" s="2"/>
      <c r="JG47" s="2"/>
      <c r="JH47" s="2"/>
      <c r="JI47" s="2"/>
      <c r="JJ47" s="2"/>
      <c r="JK47" s="2"/>
      <c r="JL47" s="2"/>
      <c r="JM47" s="2"/>
      <c r="JN47" s="2"/>
      <c r="JO47" s="2"/>
      <c r="JP47" s="2"/>
      <c r="JQ47" s="2"/>
      <c r="JR47" s="2"/>
      <c r="JS47" s="2"/>
      <c r="JT47" s="2"/>
      <c r="JU47" s="2"/>
      <c r="JV47" s="2"/>
      <c r="JW47" s="2"/>
      <c r="JX47" s="2"/>
      <c r="JY47" s="2"/>
      <c r="JZ47" s="2"/>
      <c r="KA47" s="2"/>
      <c r="KB47" s="2"/>
      <c r="KC47" s="2"/>
      <c r="KD47" s="2"/>
      <c r="KE47" s="2"/>
      <c r="KF47" s="2"/>
      <c r="KG47" s="2"/>
      <c r="KH47" s="2"/>
      <c r="KI47" s="2"/>
      <c r="KJ47" s="2"/>
      <c r="KK47" s="2"/>
      <c r="KL47" s="2"/>
      <c r="KM47" s="2"/>
      <c r="KN47" s="2"/>
      <c r="KO47" s="2"/>
      <c r="KP47" s="2"/>
      <c r="KQ47" s="2"/>
      <c r="KR47" s="2"/>
      <c r="KS47" s="2"/>
      <c r="KT47" s="2"/>
      <c r="KU47" s="2"/>
      <c r="KV47" s="2"/>
      <c r="KW47" s="2"/>
      <c r="KX47" s="2"/>
      <c r="KY47" s="2"/>
      <c r="KZ47" s="2"/>
      <c r="LA47" s="2"/>
    </row>
    <row r="48" spans="1:313" ht="24" customHeight="1" x14ac:dyDescent="0.2">
      <c r="A48" s="2" t="str">
        <f>'18 CARING RESPONSIBILITIES'!A1</f>
        <v>Indicator 18a</v>
      </c>
      <c r="B48" s="2"/>
      <c r="C48" s="2" t="str">
        <f>('18 CARING RESPONSIBILITIES'!C1)</f>
        <v>NO. OF INQUIRIES USING INVESTIGATORY POWERS WHERE ADULT HAS CARING RESPONSIBILITIES</v>
      </c>
      <c r="D48" s="2"/>
      <c r="E48" s="2"/>
      <c r="F48" s="2"/>
      <c r="G48" s="2"/>
      <c r="H48" s="2"/>
      <c r="I48" s="2"/>
      <c r="J48" s="2"/>
      <c r="K48" s="2"/>
      <c r="L48" s="2"/>
      <c r="M48" s="2"/>
      <c r="N48" s="2"/>
      <c r="O48" s="2"/>
      <c r="P48" s="1"/>
      <c r="Q48" s="1"/>
      <c r="R48" s="1"/>
      <c r="S48" s="1"/>
      <c r="T48" s="1"/>
      <c r="U48" s="1"/>
      <c r="V48" s="1"/>
      <c r="W48" s="1"/>
      <c r="X48" s="1"/>
      <c r="Y48" s="1"/>
      <c r="Z48" s="1"/>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c r="IW48" s="2"/>
      <c r="IX48" s="2"/>
      <c r="IY48" s="2"/>
      <c r="IZ48" s="2"/>
      <c r="JA48" s="2"/>
      <c r="JB48" s="2"/>
      <c r="JC48" s="2"/>
      <c r="JD48" s="2"/>
      <c r="JE48" s="2"/>
      <c r="JF48" s="2"/>
      <c r="JG48" s="2"/>
      <c r="JH48" s="2"/>
      <c r="JI48" s="2"/>
      <c r="JJ48" s="2"/>
      <c r="JK48" s="2"/>
      <c r="JL48" s="2"/>
      <c r="JM48" s="2"/>
      <c r="JN48" s="2"/>
      <c r="JO48" s="2"/>
      <c r="JP48" s="2"/>
      <c r="JQ48" s="2"/>
      <c r="JR48" s="2"/>
      <c r="JS48" s="2"/>
      <c r="JT48" s="2"/>
      <c r="JU48" s="2"/>
      <c r="JV48" s="2"/>
      <c r="JW48" s="2"/>
      <c r="JX48" s="2"/>
      <c r="JY48" s="2"/>
      <c r="JZ48" s="2"/>
      <c r="KA48" s="2"/>
      <c r="KB48" s="2"/>
      <c r="KC48" s="2"/>
      <c r="KD48" s="2"/>
      <c r="KE48" s="2"/>
      <c r="KF48" s="2"/>
      <c r="KG48" s="2"/>
      <c r="KH48" s="2"/>
      <c r="KI48" s="2"/>
      <c r="KJ48" s="2"/>
      <c r="KK48" s="2"/>
      <c r="KL48" s="2"/>
      <c r="KM48" s="2"/>
      <c r="KN48" s="2"/>
      <c r="KO48" s="2"/>
      <c r="KP48" s="2"/>
      <c r="KQ48" s="2"/>
      <c r="KR48" s="2"/>
      <c r="KS48" s="2"/>
      <c r="KT48" s="2"/>
      <c r="KU48" s="2"/>
      <c r="KV48" s="2"/>
      <c r="KW48" s="2"/>
      <c r="KX48" s="2"/>
      <c r="KY48" s="2"/>
      <c r="KZ48" s="2"/>
      <c r="LA48" s="2"/>
    </row>
    <row r="49" spans="1:313" ht="24" customHeight="1" x14ac:dyDescent="0.2">
      <c r="A49" s="2" t="str">
        <f>'18 CARING RESPONSIBILITIES'!A2</f>
        <v>Indicator 18b</v>
      </c>
      <c r="B49" s="2"/>
      <c r="C49" s="2" t="str">
        <f>('18 CARING RESPONSIBILITIES'!C2)</f>
        <v>NO. OF INQUIRIES USING INVESTIGATORY POWERS WHERE CHILD WAS PRESENT AT INCIDENT</v>
      </c>
      <c r="D49" s="2"/>
      <c r="E49" s="2"/>
      <c r="F49" s="2"/>
      <c r="G49" s="2"/>
      <c r="H49" s="2"/>
      <c r="I49" s="2"/>
      <c r="J49" s="2"/>
      <c r="K49" s="2"/>
      <c r="L49" s="2"/>
      <c r="M49" s="2"/>
      <c r="N49" s="2"/>
      <c r="O49" s="2"/>
      <c r="P49" s="1"/>
      <c r="Q49" s="1"/>
      <c r="R49" s="1"/>
      <c r="S49" s="1"/>
      <c r="T49" s="1"/>
      <c r="U49" s="1"/>
      <c r="V49" s="1"/>
      <c r="W49" s="1"/>
      <c r="X49" s="1"/>
      <c r="Y49" s="1"/>
      <c r="Z49" s="1"/>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c r="IW49" s="2"/>
      <c r="IX49" s="2"/>
      <c r="IY49" s="2"/>
      <c r="IZ49" s="2"/>
      <c r="JA49" s="2"/>
      <c r="JB49" s="2"/>
      <c r="JC49" s="2"/>
      <c r="JD49" s="2"/>
      <c r="JE49" s="2"/>
      <c r="JF49" s="2"/>
      <c r="JG49" s="2"/>
      <c r="JH49" s="2"/>
      <c r="JI49" s="2"/>
      <c r="JJ49" s="2"/>
      <c r="JK49" s="2"/>
      <c r="JL49" s="2"/>
      <c r="JM49" s="2"/>
      <c r="JN49" s="2"/>
      <c r="JO49" s="2"/>
      <c r="JP49" s="2"/>
      <c r="JQ49" s="2"/>
      <c r="JR49" s="2"/>
      <c r="JS49" s="2"/>
      <c r="JT49" s="2"/>
      <c r="JU49" s="2"/>
      <c r="JV49" s="2"/>
      <c r="JW49" s="2"/>
      <c r="JX49" s="2"/>
      <c r="JY49" s="2"/>
      <c r="JZ49" s="2"/>
      <c r="KA49" s="2"/>
      <c r="KB49" s="2"/>
      <c r="KC49" s="2"/>
      <c r="KD49" s="2"/>
      <c r="KE49" s="2"/>
      <c r="KF49" s="2"/>
      <c r="KG49" s="2"/>
      <c r="KH49" s="2"/>
      <c r="KI49" s="2"/>
      <c r="KJ49" s="2"/>
      <c r="KK49" s="2"/>
      <c r="KL49" s="2"/>
      <c r="KM49" s="2"/>
      <c r="KN49" s="2"/>
      <c r="KO49" s="2"/>
      <c r="KP49" s="2"/>
      <c r="KQ49" s="2"/>
      <c r="KR49" s="2"/>
      <c r="KS49" s="2"/>
      <c r="KT49" s="2"/>
      <c r="KU49" s="2"/>
      <c r="KV49" s="2"/>
      <c r="KW49" s="2"/>
      <c r="KX49" s="2"/>
      <c r="KY49" s="2"/>
      <c r="KZ49" s="2"/>
      <c r="LA49" s="2"/>
    </row>
    <row r="50" spans="1:313" ht="24" customHeight="1" x14ac:dyDescent="0.2">
      <c r="A50" s="8" t="s">
        <v>54</v>
      </c>
      <c r="B50" s="8"/>
      <c r="C50" s="8"/>
      <c r="D50" s="8"/>
      <c r="E50" s="8"/>
      <c r="F50" s="8"/>
      <c r="G50" s="8"/>
      <c r="H50" s="8"/>
      <c r="I50" s="8"/>
      <c r="J50" s="8"/>
      <c r="K50" s="8"/>
      <c r="L50" s="8"/>
      <c r="M50" s="8"/>
      <c r="N50" s="8"/>
      <c r="O50" s="2"/>
      <c r="P50" s="1"/>
      <c r="Q50" s="1"/>
      <c r="R50" s="1"/>
      <c r="S50" s="1"/>
      <c r="T50" s="1"/>
      <c r="U50" s="1"/>
      <c r="V50" s="1"/>
      <c r="W50" s="1"/>
      <c r="X50" s="1"/>
      <c r="Y50" s="1"/>
      <c r="Z50" s="1"/>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c r="IW50" s="2"/>
      <c r="IX50" s="2"/>
      <c r="IY50" s="2"/>
      <c r="IZ50" s="2"/>
      <c r="JA50" s="2"/>
      <c r="JB50" s="2"/>
      <c r="JC50" s="2"/>
      <c r="JD50" s="2"/>
      <c r="JE50" s="2"/>
      <c r="JF50" s="2"/>
      <c r="JG50" s="2"/>
      <c r="JH50" s="2"/>
      <c r="JI50" s="2"/>
      <c r="JJ50" s="2"/>
      <c r="JK50" s="2"/>
      <c r="JL50" s="2"/>
      <c r="JM50" s="2"/>
      <c r="JN50" s="2"/>
      <c r="JO50" s="2"/>
      <c r="JP50" s="2"/>
      <c r="JQ50" s="2"/>
      <c r="JR50" s="2"/>
      <c r="JS50" s="2"/>
      <c r="JT50" s="2"/>
      <c r="JU50" s="2"/>
      <c r="JV50" s="2"/>
      <c r="JW50" s="2"/>
      <c r="JX50" s="2"/>
      <c r="JY50" s="2"/>
      <c r="JZ50" s="2"/>
      <c r="KA50" s="2"/>
      <c r="KB50" s="2"/>
      <c r="KC50" s="2"/>
      <c r="KD50" s="2"/>
      <c r="KE50" s="2"/>
      <c r="KF50" s="2"/>
      <c r="KG50" s="2"/>
      <c r="KH50" s="2"/>
      <c r="KI50" s="2"/>
      <c r="KJ50" s="2"/>
      <c r="KK50" s="2"/>
      <c r="KL50" s="2"/>
      <c r="KM50" s="2"/>
      <c r="KN50" s="2"/>
      <c r="KO50" s="2"/>
      <c r="KP50" s="2"/>
      <c r="KQ50" s="2"/>
      <c r="KR50" s="2"/>
      <c r="KS50" s="2"/>
      <c r="KT50" s="2"/>
      <c r="KU50" s="2"/>
      <c r="KV50" s="2"/>
      <c r="KW50" s="2"/>
      <c r="KX50" s="2"/>
      <c r="KY50" s="2"/>
      <c r="KZ50" s="2"/>
      <c r="LA50" s="2"/>
    </row>
    <row r="51" spans="1:313" ht="24" customHeight="1" x14ac:dyDescent="0.2">
      <c r="A51" s="2" t="str">
        <f t="array" ref="A51:A53">'19 LSIs'!A1:A3</f>
        <v>Indicator 19a</v>
      </c>
      <c r="B51" s="2"/>
      <c r="C51" s="2" t="str">
        <f t="array" ref="C51:C53">('19 LSIs'!C1:C3)</f>
        <v>LARGE SCALE INVESTIGATIONS (BY SERVICE TYPE)</v>
      </c>
      <c r="D51" s="2"/>
      <c r="E51" s="2"/>
      <c r="F51" s="2"/>
      <c r="G51" s="2"/>
      <c r="H51" s="2"/>
      <c r="I51" s="2"/>
      <c r="J51" s="2"/>
      <c r="K51" s="2"/>
      <c r="L51" s="2"/>
      <c r="M51" s="2"/>
      <c r="N51" s="2"/>
      <c r="O51" s="2"/>
      <c r="P51" s="1"/>
      <c r="Q51" s="1"/>
      <c r="R51" s="1"/>
      <c r="S51" s="1"/>
      <c r="T51" s="1"/>
      <c r="U51" s="1"/>
      <c r="V51" s="1"/>
      <c r="W51" s="1"/>
      <c r="X51" s="1"/>
      <c r="Y51" s="1"/>
      <c r="Z51" s="1"/>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c r="IW51" s="2"/>
      <c r="IX51" s="2"/>
      <c r="IY51" s="2"/>
      <c r="IZ51" s="2"/>
      <c r="JA51" s="2"/>
      <c r="JB51" s="2"/>
      <c r="JC51" s="2"/>
      <c r="JD51" s="2"/>
      <c r="JE51" s="2"/>
      <c r="JF51" s="2"/>
      <c r="JG51" s="2"/>
      <c r="JH51" s="2"/>
      <c r="JI51" s="2"/>
      <c r="JJ51" s="2"/>
      <c r="JK51" s="2"/>
      <c r="JL51" s="2"/>
      <c r="JM51" s="2"/>
      <c r="JN51" s="2"/>
      <c r="JO51" s="2"/>
      <c r="JP51" s="2"/>
      <c r="JQ51" s="2"/>
      <c r="JR51" s="2"/>
      <c r="JS51" s="2"/>
      <c r="JT51" s="2"/>
      <c r="JU51" s="2"/>
      <c r="JV51" s="2"/>
      <c r="JW51" s="2"/>
      <c r="JX51" s="2"/>
      <c r="JY51" s="2"/>
      <c r="JZ51" s="2"/>
      <c r="KA51" s="2"/>
      <c r="KB51" s="2"/>
      <c r="KC51" s="2"/>
      <c r="KD51" s="2"/>
      <c r="KE51" s="2"/>
      <c r="KF51" s="2"/>
      <c r="KG51" s="2"/>
      <c r="KH51" s="2"/>
      <c r="KI51" s="2"/>
      <c r="KJ51" s="2"/>
      <c r="KK51" s="2"/>
      <c r="KL51" s="2"/>
      <c r="KM51" s="2"/>
      <c r="KN51" s="2"/>
      <c r="KO51" s="2"/>
      <c r="KP51" s="2"/>
      <c r="KQ51" s="2"/>
      <c r="KR51" s="2"/>
      <c r="KS51" s="2"/>
      <c r="KT51" s="2"/>
      <c r="KU51" s="2"/>
      <c r="KV51" s="2"/>
      <c r="KW51" s="2"/>
      <c r="KX51" s="2"/>
      <c r="KY51" s="2"/>
      <c r="KZ51" s="2"/>
      <c r="LA51" s="2"/>
    </row>
    <row r="52" spans="1:313" ht="24" customHeight="1" x14ac:dyDescent="0.2">
      <c r="A52" s="2" t="str">
        <v>Indicator 19b</v>
      </c>
      <c r="B52" s="2"/>
      <c r="C52" s="2" t="str">
        <v>CARE INSPECTORATE ASSIGNED UNIQUE CS NUMBERS</v>
      </c>
      <c r="D52" s="2"/>
      <c r="E52" s="2"/>
      <c r="F52" s="2"/>
      <c r="G52" s="2"/>
      <c r="H52" s="2"/>
      <c r="I52" s="2"/>
      <c r="J52" s="2"/>
      <c r="K52" s="2"/>
      <c r="L52" s="2"/>
      <c r="M52" s="2"/>
      <c r="N52" s="2"/>
      <c r="O52" s="2"/>
      <c r="P52" s="1"/>
      <c r="Q52" s="1"/>
      <c r="R52" s="1"/>
      <c r="S52" s="1"/>
      <c r="T52" s="1"/>
      <c r="U52" s="1"/>
      <c r="V52" s="1"/>
      <c r="W52" s="1"/>
      <c r="X52" s="1"/>
      <c r="Y52" s="1"/>
      <c r="Z52" s="1"/>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c r="IW52" s="2"/>
      <c r="IX52" s="2"/>
      <c r="IY52" s="2"/>
      <c r="IZ52" s="2"/>
      <c r="JA52" s="2"/>
      <c r="JB52" s="2"/>
      <c r="JC52" s="2"/>
      <c r="JD52" s="2"/>
      <c r="JE52" s="2"/>
      <c r="JF52" s="2"/>
      <c r="JG52" s="2"/>
      <c r="JH52" s="2"/>
      <c r="JI52" s="2"/>
      <c r="JJ52" s="2"/>
      <c r="JK52" s="2"/>
      <c r="JL52" s="2"/>
      <c r="JM52" s="2"/>
      <c r="JN52" s="2"/>
      <c r="JO52" s="2"/>
      <c r="JP52" s="2"/>
      <c r="JQ52" s="2"/>
      <c r="JR52" s="2"/>
      <c r="JS52" s="2"/>
      <c r="JT52" s="2"/>
      <c r="JU52" s="2"/>
      <c r="JV52" s="2"/>
      <c r="JW52" s="2"/>
      <c r="JX52" s="2"/>
      <c r="JY52" s="2"/>
      <c r="JZ52" s="2"/>
      <c r="KA52" s="2"/>
      <c r="KB52" s="2"/>
      <c r="KC52" s="2"/>
      <c r="KD52" s="2"/>
      <c r="KE52" s="2"/>
      <c r="KF52" s="2"/>
      <c r="KG52" s="2"/>
      <c r="KH52" s="2"/>
      <c r="KI52" s="2"/>
      <c r="KJ52" s="2"/>
      <c r="KK52" s="2"/>
      <c r="KL52" s="2"/>
      <c r="KM52" s="2"/>
      <c r="KN52" s="2"/>
      <c r="KO52" s="2"/>
      <c r="KP52" s="2"/>
      <c r="KQ52" s="2"/>
      <c r="KR52" s="2"/>
      <c r="KS52" s="2"/>
      <c r="KT52" s="2"/>
      <c r="KU52" s="2"/>
      <c r="KV52" s="2"/>
      <c r="KW52" s="2"/>
      <c r="KX52" s="2"/>
      <c r="KY52" s="2"/>
      <c r="KZ52" s="2"/>
      <c r="LA52" s="2"/>
    </row>
    <row r="53" spans="1:313" ht="24" customHeight="1" x14ac:dyDescent="0.2">
      <c r="A53" s="2" t="str">
        <v>Indicator 19c</v>
      </c>
      <c r="B53" s="2"/>
      <c r="C53" s="2" t="str">
        <v>NHS HOSPITAL LOCATION CODE (PER INDIVIDUAL LSI)</v>
      </c>
      <c r="D53" s="2"/>
      <c r="E53" s="2"/>
      <c r="F53" s="2"/>
      <c r="G53" s="2"/>
      <c r="H53" s="2"/>
      <c r="I53" s="2"/>
      <c r="J53" s="2"/>
      <c r="K53" s="2"/>
      <c r="L53" s="2"/>
      <c r="M53" s="2"/>
      <c r="N53" s="2"/>
      <c r="O53" s="2"/>
      <c r="P53" s="1"/>
      <c r="Q53" s="1"/>
      <c r="R53" s="1"/>
      <c r="S53" s="1"/>
      <c r="T53" s="1"/>
      <c r="U53" s="1"/>
      <c r="V53" s="1"/>
      <c r="W53" s="1"/>
      <c r="X53" s="1"/>
      <c r="Y53" s="1"/>
      <c r="Z53" s="1"/>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c r="IW53" s="2"/>
      <c r="IX53" s="2"/>
      <c r="IY53" s="2"/>
      <c r="IZ53" s="2"/>
      <c r="JA53" s="2"/>
      <c r="JB53" s="2"/>
      <c r="JC53" s="2"/>
      <c r="JD53" s="2"/>
      <c r="JE53" s="2"/>
      <c r="JF53" s="2"/>
      <c r="JG53" s="2"/>
      <c r="JH53" s="2"/>
      <c r="JI53" s="2"/>
      <c r="JJ53" s="2"/>
      <c r="JK53" s="2"/>
      <c r="JL53" s="2"/>
      <c r="JM53" s="2"/>
      <c r="JN53" s="2"/>
      <c r="JO53" s="2"/>
      <c r="JP53" s="2"/>
      <c r="JQ53" s="2"/>
      <c r="JR53" s="2"/>
      <c r="JS53" s="2"/>
      <c r="JT53" s="2"/>
      <c r="JU53" s="2"/>
      <c r="JV53" s="2"/>
      <c r="JW53" s="2"/>
      <c r="JX53" s="2"/>
      <c r="JY53" s="2"/>
      <c r="JZ53" s="2"/>
      <c r="KA53" s="2"/>
      <c r="KB53" s="2"/>
      <c r="KC53" s="2"/>
      <c r="KD53" s="2"/>
      <c r="KE53" s="2"/>
      <c r="KF53" s="2"/>
      <c r="KG53" s="2"/>
      <c r="KH53" s="2"/>
      <c r="KI53" s="2"/>
      <c r="KJ53" s="2"/>
      <c r="KK53" s="2"/>
      <c r="KL53" s="2"/>
      <c r="KM53" s="2"/>
      <c r="KN53" s="2"/>
      <c r="KO53" s="2"/>
      <c r="KP53" s="2"/>
      <c r="KQ53" s="2"/>
      <c r="KR53" s="2"/>
      <c r="KS53" s="2"/>
      <c r="KT53" s="2"/>
      <c r="KU53" s="2"/>
      <c r="KV53" s="2"/>
      <c r="KW53" s="2"/>
      <c r="KX53" s="2"/>
      <c r="KY53" s="2"/>
      <c r="KZ53" s="2"/>
      <c r="LA53" s="2"/>
    </row>
    <row r="54" spans="1:313" s="62" customFormat="1" ht="24" customHeight="1" x14ac:dyDescent="0.2"/>
    <row r="55" spans="1:313" ht="16" x14ac:dyDescent="0.2">
      <c r="A55" s="3"/>
      <c r="B55" s="3"/>
      <c r="C55" s="3"/>
      <c r="D55" s="3"/>
      <c r="E55" s="3"/>
      <c r="F55" s="3"/>
      <c r="G55" s="3"/>
      <c r="H55" s="3"/>
      <c r="I55" s="3"/>
      <c r="J55" s="3"/>
      <c r="K55" s="3"/>
      <c r="L55" s="3"/>
      <c r="M55" s="3"/>
      <c r="N55" s="3"/>
      <c r="O55" s="3"/>
      <c r="P55" s="9"/>
      <c r="Q55" s="9"/>
      <c r="R55" s="9"/>
      <c r="S55" s="9"/>
      <c r="T55" s="9"/>
      <c r="U55" s="9"/>
      <c r="V55" s="9"/>
      <c r="W55" s="9"/>
      <c r="X55" s="9"/>
      <c r="Y55" s="9"/>
      <c r="Z55" s="9"/>
    </row>
    <row r="56" spans="1:313" ht="16" x14ac:dyDescent="0.2">
      <c r="A56" s="3"/>
      <c r="B56" s="3"/>
      <c r="C56" s="3"/>
      <c r="D56" s="3"/>
      <c r="E56" s="3"/>
      <c r="F56" s="3"/>
      <c r="G56" s="3"/>
      <c r="H56" s="3"/>
      <c r="I56" s="3"/>
      <c r="J56" s="3"/>
      <c r="K56" s="3"/>
      <c r="L56" s="3"/>
      <c r="M56" s="3"/>
      <c r="N56" s="3"/>
      <c r="O56" s="3"/>
      <c r="P56" s="9"/>
      <c r="Q56" s="9"/>
      <c r="R56" s="9"/>
      <c r="S56" s="9"/>
      <c r="T56" s="9"/>
      <c r="U56" s="9"/>
      <c r="V56" s="9"/>
      <c r="W56" s="9"/>
      <c r="X56" s="9"/>
      <c r="Y56" s="9"/>
      <c r="Z56" s="9"/>
    </row>
    <row r="57" spans="1:313" ht="16" x14ac:dyDescent="0.2">
      <c r="A57" s="3"/>
      <c r="B57" s="3"/>
      <c r="C57" s="3"/>
      <c r="D57" s="3"/>
      <c r="E57" s="3"/>
      <c r="F57" s="3"/>
      <c r="G57" s="3"/>
      <c r="H57" s="3"/>
      <c r="I57" s="3"/>
      <c r="J57" s="3"/>
      <c r="K57" s="3"/>
      <c r="L57" s="3"/>
      <c r="M57" s="3"/>
      <c r="N57" s="3"/>
      <c r="O57" s="3"/>
      <c r="P57" s="9"/>
      <c r="Q57" s="9"/>
      <c r="R57" s="9"/>
      <c r="S57" s="9"/>
      <c r="T57" s="9"/>
      <c r="U57" s="9"/>
      <c r="V57" s="9"/>
      <c r="W57" s="9"/>
      <c r="X57" s="9"/>
      <c r="Y57" s="9"/>
      <c r="Z57" s="9"/>
    </row>
    <row r="58" spans="1:313" ht="16" x14ac:dyDescent="0.2">
      <c r="A58" s="3"/>
      <c r="B58" s="3"/>
      <c r="C58" s="3"/>
      <c r="D58" s="3"/>
      <c r="E58" s="3"/>
      <c r="F58" s="3"/>
      <c r="G58" s="3"/>
      <c r="H58" s="3"/>
      <c r="I58" s="3"/>
      <c r="J58" s="3"/>
      <c r="K58" s="3"/>
      <c r="L58" s="3"/>
      <c r="M58" s="3"/>
      <c r="N58" s="3"/>
      <c r="O58" s="3"/>
      <c r="P58" s="9"/>
      <c r="Q58" s="9"/>
      <c r="R58" s="9"/>
      <c r="S58" s="9"/>
      <c r="T58" s="9"/>
      <c r="U58" s="9"/>
      <c r="V58" s="9"/>
      <c r="W58" s="9"/>
      <c r="X58" s="9"/>
      <c r="Y58" s="9"/>
      <c r="Z58" s="9"/>
    </row>
    <row r="59" spans="1:313" ht="16" x14ac:dyDescent="0.2">
      <c r="A59" s="3"/>
      <c r="B59" s="3"/>
      <c r="C59" s="3"/>
      <c r="D59" s="3"/>
      <c r="E59" s="3"/>
      <c r="F59" s="3"/>
      <c r="G59" s="3"/>
      <c r="H59" s="3"/>
      <c r="I59" s="3"/>
      <c r="J59" s="3"/>
      <c r="K59" s="3"/>
      <c r="L59" s="3"/>
      <c r="M59" s="3"/>
      <c r="N59" s="3"/>
      <c r="O59" s="3"/>
      <c r="P59" s="9"/>
      <c r="Q59" s="9"/>
      <c r="R59" s="9"/>
      <c r="S59" s="9"/>
      <c r="T59" s="9"/>
      <c r="U59" s="9"/>
      <c r="V59" s="9"/>
      <c r="W59" s="9"/>
      <c r="X59" s="9"/>
      <c r="Y59" s="9"/>
      <c r="Z59" s="9"/>
    </row>
    <row r="60" spans="1:313" ht="16" x14ac:dyDescent="0.2">
      <c r="A60" s="3"/>
      <c r="B60" s="3"/>
      <c r="C60" s="3"/>
      <c r="D60" s="3"/>
      <c r="E60" s="3"/>
      <c r="F60" s="3"/>
      <c r="G60" s="3"/>
      <c r="H60" s="3"/>
      <c r="I60" s="3"/>
      <c r="J60" s="3"/>
      <c r="K60" s="3"/>
      <c r="L60" s="3"/>
      <c r="M60" s="3"/>
      <c r="N60" s="3"/>
      <c r="O60" s="3"/>
      <c r="P60" s="9"/>
      <c r="Q60" s="9"/>
      <c r="R60" s="9"/>
      <c r="S60" s="9"/>
      <c r="T60" s="9"/>
      <c r="U60" s="9"/>
      <c r="V60" s="9"/>
      <c r="W60" s="9"/>
      <c r="X60" s="9"/>
      <c r="Y60" s="9"/>
      <c r="Z60" s="9"/>
    </row>
    <row r="61" spans="1:313" ht="16" x14ac:dyDescent="0.2">
      <c r="A61" s="3"/>
      <c r="B61" s="3"/>
      <c r="C61" s="3"/>
      <c r="D61" s="3"/>
      <c r="E61" s="3"/>
      <c r="F61" s="3"/>
      <c r="G61" s="3"/>
      <c r="H61" s="3"/>
      <c r="I61" s="3"/>
      <c r="J61" s="3"/>
      <c r="K61" s="3"/>
      <c r="L61" s="3"/>
      <c r="M61" s="3"/>
      <c r="N61" s="3"/>
      <c r="O61" s="3"/>
      <c r="P61" s="9"/>
      <c r="Q61" s="9"/>
      <c r="R61" s="9"/>
      <c r="S61" s="9"/>
      <c r="T61" s="9"/>
      <c r="U61" s="9"/>
      <c r="V61" s="9"/>
      <c r="W61" s="9"/>
      <c r="X61" s="9"/>
      <c r="Y61" s="9"/>
      <c r="Z61" s="9"/>
    </row>
    <row r="62" spans="1:313" ht="16" x14ac:dyDescent="0.2">
      <c r="A62" s="3"/>
      <c r="B62" s="3"/>
      <c r="C62" s="3"/>
      <c r="D62" s="3"/>
      <c r="E62" s="3"/>
      <c r="F62" s="3"/>
      <c r="G62" s="3"/>
      <c r="H62" s="3"/>
      <c r="I62" s="3"/>
      <c r="J62" s="3"/>
      <c r="K62" s="3"/>
      <c r="L62" s="3"/>
      <c r="M62" s="3"/>
      <c r="N62" s="3"/>
      <c r="O62" s="3"/>
      <c r="P62" s="9"/>
      <c r="Q62" s="9"/>
      <c r="R62" s="9"/>
      <c r="S62" s="9"/>
      <c r="T62" s="9"/>
      <c r="U62" s="9"/>
      <c r="V62" s="9"/>
      <c r="W62" s="9"/>
      <c r="X62" s="9"/>
      <c r="Y62" s="9"/>
      <c r="Z62" s="9"/>
    </row>
    <row r="63" spans="1:313" ht="16" x14ac:dyDescent="0.2">
      <c r="A63" s="3"/>
      <c r="B63" s="3"/>
      <c r="C63" s="3"/>
      <c r="D63" s="3"/>
      <c r="E63" s="3"/>
      <c r="F63" s="3"/>
      <c r="G63" s="3"/>
      <c r="H63" s="3"/>
      <c r="I63" s="3"/>
      <c r="J63" s="3"/>
      <c r="K63" s="3"/>
      <c r="L63" s="3"/>
      <c r="M63" s="3"/>
      <c r="N63" s="3"/>
      <c r="O63" s="3"/>
      <c r="P63" s="9"/>
      <c r="Q63" s="9"/>
      <c r="R63" s="9"/>
      <c r="S63" s="9"/>
      <c r="T63" s="9"/>
      <c r="U63" s="9"/>
      <c r="V63" s="9"/>
      <c r="W63" s="9"/>
      <c r="X63" s="9"/>
      <c r="Y63" s="9"/>
      <c r="Z63" s="9"/>
    </row>
    <row r="64" spans="1:313" ht="16" x14ac:dyDescent="0.2">
      <c r="A64" s="3"/>
      <c r="B64" s="3"/>
      <c r="C64" s="3"/>
      <c r="D64" s="3"/>
      <c r="E64" s="3"/>
      <c r="F64" s="3"/>
      <c r="G64" s="3"/>
      <c r="H64" s="3"/>
      <c r="I64" s="3"/>
      <c r="J64" s="3"/>
      <c r="K64" s="3"/>
      <c r="L64" s="3"/>
      <c r="M64" s="3"/>
      <c r="N64" s="3"/>
      <c r="O64" s="3"/>
      <c r="P64" s="9"/>
      <c r="Q64" s="9"/>
      <c r="R64" s="9"/>
      <c r="S64" s="9"/>
      <c r="T64" s="9"/>
      <c r="U64" s="9"/>
      <c r="V64" s="9"/>
      <c r="W64" s="9"/>
      <c r="X64" s="9"/>
      <c r="Y64" s="9"/>
      <c r="Z64" s="9"/>
    </row>
    <row r="65" spans="1:26" ht="16" x14ac:dyDescent="0.2">
      <c r="A65" s="3"/>
      <c r="B65" s="3"/>
      <c r="C65" s="3"/>
      <c r="D65" s="3"/>
      <c r="E65" s="3"/>
      <c r="F65" s="3"/>
      <c r="G65" s="3"/>
      <c r="H65" s="3"/>
      <c r="I65" s="3"/>
      <c r="J65" s="3"/>
      <c r="K65" s="3"/>
      <c r="L65" s="3"/>
      <c r="M65" s="3"/>
      <c r="N65" s="3"/>
      <c r="O65" s="3"/>
      <c r="P65" s="9"/>
      <c r="Q65" s="9"/>
      <c r="R65" s="9"/>
      <c r="S65" s="9"/>
      <c r="T65" s="9"/>
      <c r="U65" s="9"/>
      <c r="V65" s="9"/>
      <c r="W65" s="9"/>
      <c r="X65" s="9"/>
      <c r="Y65" s="9"/>
      <c r="Z65" s="9"/>
    </row>
    <row r="66" spans="1:26" ht="16" x14ac:dyDescent="0.2">
      <c r="A66" s="3"/>
      <c r="B66" s="3"/>
      <c r="C66" s="3"/>
      <c r="D66" s="3"/>
      <c r="E66" s="3"/>
      <c r="F66" s="3"/>
      <c r="G66" s="3"/>
      <c r="H66" s="3"/>
      <c r="I66" s="3"/>
      <c r="J66" s="3"/>
      <c r="K66" s="3"/>
      <c r="L66" s="3"/>
      <c r="M66" s="3"/>
      <c r="N66" s="3"/>
      <c r="O66" s="3"/>
      <c r="P66" s="9"/>
      <c r="Q66" s="9"/>
      <c r="R66" s="9"/>
      <c r="S66" s="9"/>
      <c r="T66" s="9"/>
      <c r="U66" s="9"/>
      <c r="V66" s="9"/>
      <c r="W66" s="9"/>
      <c r="X66" s="9"/>
      <c r="Y66" s="9"/>
      <c r="Z66" s="9"/>
    </row>
    <row r="67" spans="1:26" ht="16" x14ac:dyDescent="0.2">
      <c r="A67" s="3"/>
      <c r="B67" s="3"/>
      <c r="C67" s="3"/>
      <c r="D67" s="3"/>
      <c r="E67" s="3"/>
      <c r="F67" s="3"/>
      <c r="G67" s="3"/>
      <c r="H67" s="3"/>
      <c r="I67" s="3"/>
      <c r="J67" s="3"/>
      <c r="K67" s="3"/>
      <c r="L67" s="3"/>
      <c r="M67" s="3"/>
      <c r="N67" s="3"/>
      <c r="O67" s="3"/>
      <c r="P67" s="9"/>
      <c r="Q67" s="9"/>
      <c r="R67" s="9"/>
      <c r="S67" s="9"/>
      <c r="T67" s="9"/>
      <c r="U67" s="9"/>
      <c r="V67" s="9"/>
      <c r="W67" s="9"/>
      <c r="X67" s="9"/>
      <c r="Y67" s="9"/>
      <c r="Z67" s="9"/>
    </row>
    <row r="68" spans="1:26" ht="16" x14ac:dyDescent="0.2">
      <c r="A68" s="3"/>
      <c r="B68" s="3"/>
      <c r="C68" s="3"/>
      <c r="D68" s="3"/>
      <c r="E68" s="3"/>
      <c r="F68" s="3"/>
      <c r="G68" s="3"/>
      <c r="H68" s="3"/>
      <c r="I68" s="3"/>
      <c r="J68" s="3"/>
      <c r="K68" s="3"/>
      <c r="L68" s="3"/>
      <c r="M68" s="3"/>
      <c r="N68" s="3"/>
      <c r="O68" s="3"/>
      <c r="P68" s="9"/>
      <c r="Q68" s="9"/>
      <c r="R68" s="9"/>
      <c r="S68" s="9"/>
      <c r="T68" s="9"/>
      <c r="U68" s="9"/>
      <c r="V68" s="9"/>
      <c r="W68" s="9"/>
      <c r="X68" s="9"/>
      <c r="Y68" s="9"/>
      <c r="Z68" s="9"/>
    </row>
    <row r="69" spans="1:26" ht="16" x14ac:dyDescent="0.2">
      <c r="A69" s="3"/>
      <c r="B69" s="3"/>
      <c r="C69" s="3"/>
      <c r="D69" s="3"/>
      <c r="E69" s="3"/>
      <c r="F69" s="3"/>
      <c r="G69" s="3"/>
      <c r="H69" s="3"/>
      <c r="I69" s="3"/>
      <c r="J69" s="3"/>
      <c r="K69" s="3"/>
      <c r="L69" s="3"/>
      <c r="M69" s="3"/>
      <c r="N69" s="3"/>
      <c r="O69" s="3"/>
      <c r="P69" s="9"/>
      <c r="Q69" s="9"/>
      <c r="R69" s="9"/>
      <c r="S69" s="9"/>
      <c r="T69" s="9"/>
      <c r="U69" s="9"/>
      <c r="V69" s="9"/>
      <c r="W69" s="9"/>
      <c r="X69" s="9"/>
      <c r="Y69" s="9"/>
      <c r="Z69" s="9"/>
    </row>
    <row r="70" spans="1:26" ht="16" x14ac:dyDescent="0.2">
      <c r="A70" s="3"/>
      <c r="B70" s="3"/>
      <c r="C70" s="3"/>
      <c r="D70" s="3"/>
      <c r="E70" s="3"/>
      <c r="F70" s="3"/>
      <c r="G70" s="3"/>
      <c r="H70" s="3"/>
      <c r="I70" s="3"/>
      <c r="J70" s="3"/>
      <c r="K70" s="3"/>
      <c r="L70" s="3"/>
      <c r="M70" s="3"/>
      <c r="N70" s="3"/>
      <c r="O70" s="3"/>
      <c r="P70" s="9"/>
      <c r="Q70" s="9"/>
      <c r="R70" s="9"/>
      <c r="S70" s="9"/>
      <c r="T70" s="9"/>
      <c r="U70" s="9"/>
      <c r="V70" s="9"/>
      <c r="W70" s="9"/>
      <c r="X70" s="9"/>
      <c r="Y70" s="9"/>
      <c r="Z70" s="9"/>
    </row>
    <row r="71" spans="1:26" ht="16" x14ac:dyDescent="0.2">
      <c r="A71" s="3"/>
      <c r="B71" s="3"/>
      <c r="C71" s="3"/>
      <c r="D71" s="3"/>
      <c r="E71" s="3"/>
      <c r="F71" s="3"/>
      <c r="G71" s="3"/>
      <c r="H71" s="3"/>
      <c r="I71" s="3"/>
      <c r="J71" s="3"/>
      <c r="K71" s="3"/>
      <c r="L71" s="3"/>
      <c r="M71" s="3"/>
      <c r="N71" s="3"/>
      <c r="O71" s="3"/>
      <c r="P71" s="9"/>
      <c r="Q71" s="9"/>
      <c r="R71" s="9"/>
      <c r="S71" s="9"/>
      <c r="T71" s="9"/>
      <c r="U71" s="9"/>
      <c r="V71" s="9"/>
      <c r="W71" s="9"/>
      <c r="X71" s="9"/>
      <c r="Y71" s="9"/>
      <c r="Z71" s="9"/>
    </row>
    <row r="72" spans="1:26" ht="16" x14ac:dyDescent="0.2">
      <c r="A72" s="3"/>
      <c r="B72" s="3"/>
      <c r="C72" s="3"/>
      <c r="D72" s="3"/>
      <c r="E72" s="3"/>
      <c r="F72" s="3"/>
      <c r="G72" s="3"/>
      <c r="H72" s="3"/>
      <c r="I72" s="3"/>
      <c r="J72" s="3"/>
      <c r="K72" s="3"/>
      <c r="L72" s="3"/>
      <c r="M72" s="3"/>
      <c r="N72" s="3"/>
      <c r="O72" s="3"/>
      <c r="P72" s="9"/>
      <c r="Q72" s="9"/>
      <c r="R72" s="9"/>
      <c r="S72" s="9"/>
      <c r="T72" s="9"/>
      <c r="U72" s="9"/>
      <c r="V72" s="9"/>
      <c r="W72" s="9"/>
      <c r="X72" s="9"/>
      <c r="Y72" s="9"/>
      <c r="Z72" s="9"/>
    </row>
    <row r="73" spans="1:26" ht="16" x14ac:dyDescent="0.2">
      <c r="A73" s="3"/>
      <c r="B73" s="3"/>
      <c r="C73" s="3"/>
      <c r="D73" s="3"/>
      <c r="E73" s="3"/>
      <c r="F73" s="3"/>
      <c r="G73" s="3"/>
      <c r="H73" s="3"/>
      <c r="I73" s="3"/>
      <c r="J73" s="3"/>
      <c r="K73" s="3"/>
      <c r="L73" s="3"/>
      <c r="M73" s="3"/>
      <c r="N73" s="3"/>
      <c r="O73" s="3"/>
      <c r="P73" s="9"/>
      <c r="Q73" s="9"/>
      <c r="R73" s="9"/>
      <c r="S73" s="9"/>
      <c r="T73" s="9"/>
      <c r="U73" s="9"/>
      <c r="V73" s="9"/>
      <c r="W73" s="9"/>
      <c r="X73" s="9"/>
      <c r="Y73" s="9"/>
      <c r="Z73" s="9"/>
    </row>
    <row r="74" spans="1:26" ht="16" x14ac:dyDescent="0.2">
      <c r="A74" s="3"/>
      <c r="B74" s="3"/>
      <c r="C74" s="3"/>
      <c r="D74" s="3"/>
      <c r="E74" s="3"/>
      <c r="F74" s="3"/>
      <c r="G74" s="3"/>
      <c r="H74" s="3"/>
      <c r="I74" s="3"/>
      <c r="J74" s="3"/>
      <c r="K74" s="3"/>
      <c r="L74" s="3"/>
      <c r="M74" s="3"/>
      <c r="N74" s="3"/>
      <c r="O74" s="3"/>
      <c r="P74" s="9"/>
      <c r="Q74" s="9"/>
      <c r="R74" s="9"/>
      <c r="S74" s="9"/>
      <c r="T74" s="9"/>
      <c r="U74" s="9"/>
      <c r="V74" s="9"/>
      <c r="W74" s="9"/>
      <c r="X74" s="9"/>
      <c r="Y74" s="9"/>
      <c r="Z74" s="9"/>
    </row>
    <row r="75" spans="1:26" ht="16" x14ac:dyDescent="0.2">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 x14ac:dyDescent="0.2">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 x14ac:dyDescent="0.2">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 x14ac:dyDescent="0.2">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 x14ac:dyDescent="0.2">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 x14ac:dyDescent="0.2">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 x14ac:dyDescent="0.2">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 x14ac:dyDescent="0.2">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 x14ac:dyDescent="0.2">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 x14ac:dyDescent="0.2">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 x14ac:dyDescent="0.2">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 x14ac:dyDescent="0.2">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 x14ac:dyDescent="0.2">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 x14ac:dyDescent="0.2">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 x14ac:dyDescent="0.2">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 x14ac:dyDescent="0.2">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 x14ac:dyDescent="0.2">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 x14ac:dyDescent="0.2">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 x14ac:dyDescent="0.2">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 x14ac:dyDescent="0.2">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5.75" customHeight="1" x14ac:dyDescent="0.2">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5.75" customHeight="1" x14ac:dyDescent="0.2">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5.75" customHeight="1" x14ac:dyDescent="0.2">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5.75" customHeight="1" x14ac:dyDescent="0.2">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5.75" customHeight="1" x14ac:dyDescent="0.2">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5.75" customHeight="1" x14ac:dyDescent="0.2">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5.75" customHeight="1" x14ac:dyDescent="0.2">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5.75" customHeight="1" x14ac:dyDescent="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5.75" customHeight="1" x14ac:dyDescent="0.2">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5.75" customHeight="1" x14ac:dyDescent="0.2">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5.75" customHeight="1" x14ac:dyDescent="0.2">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5.75" customHeight="1" x14ac:dyDescent="0.2">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5.75" customHeight="1" x14ac:dyDescent="0.2">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5.75" customHeight="1" x14ac:dyDescent="0.2">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5.75" customHeight="1" x14ac:dyDescent="0.2">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5.75" customHeight="1" x14ac:dyDescent="0.2">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5.75" customHeight="1" x14ac:dyDescent="0.2">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5.75" customHeight="1" x14ac:dyDescent="0.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5.75" customHeight="1" x14ac:dyDescent="0.2">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5.75" customHeight="1" x14ac:dyDescent="0.2">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5.75" customHeight="1" x14ac:dyDescent="0.2">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5.75" customHeight="1" x14ac:dyDescent="0.2">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5.75" customHeight="1" x14ac:dyDescent="0.2">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5.75" customHeight="1" x14ac:dyDescent="0.2">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5.75" customHeight="1" x14ac:dyDescent="0.2">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5.75" customHeight="1" x14ac:dyDescent="0.2">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5.75" customHeight="1" x14ac:dyDescent="0.2">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5.75" customHeight="1" x14ac:dyDescent="0.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5.75" customHeight="1" x14ac:dyDescent="0.2">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5.75" customHeight="1" x14ac:dyDescent="0.2">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5.75" customHeight="1" x14ac:dyDescent="0.2">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5.75" customHeight="1" x14ac:dyDescent="0.2">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5.75" customHeight="1" x14ac:dyDescent="0.2">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5.75" customHeight="1" x14ac:dyDescent="0.2">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5.75" customHeight="1" x14ac:dyDescent="0.2">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5.75" customHeight="1" x14ac:dyDescent="0.2">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5.75" customHeight="1" x14ac:dyDescent="0.2">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5.75" customHeight="1" x14ac:dyDescent="0.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5.75" customHeight="1" x14ac:dyDescent="0.2">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5.75" customHeight="1" x14ac:dyDescent="0.2">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5.75" customHeight="1" x14ac:dyDescent="0.2">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5.75" customHeight="1" x14ac:dyDescent="0.2">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5.75" customHeight="1" x14ac:dyDescent="0.2">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5.75" customHeight="1" x14ac:dyDescent="0.2">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5.75" customHeight="1" x14ac:dyDescent="0.2">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5.75" customHeight="1" x14ac:dyDescent="0.2">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5.75" customHeight="1" x14ac:dyDescent="0.2">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5.75" customHeight="1" x14ac:dyDescent="0.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5.75" customHeight="1" x14ac:dyDescent="0.2">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5.75" customHeight="1" x14ac:dyDescent="0.2">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5.75" customHeight="1" x14ac:dyDescent="0.2">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5.75" customHeight="1" x14ac:dyDescent="0.2">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5.75" customHeight="1" x14ac:dyDescent="0.2">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5.75" customHeight="1" x14ac:dyDescent="0.2">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5.75" customHeight="1" x14ac:dyDescent="0.2">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5.75" customHeight="1" x14ac:dyDescent="0.2">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5.75" customHeight="1" x14ac:dyDescent="0.2">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5.75" customHeight="1" x14ac:dyDescent="0.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5.75" customHeight="1" x14ac:dyDescent="0.2">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5.75" customHeight="1" x14ac:dyDescent="0.2">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5.75" customHeight="1" x14ac:dyDescent="0.2">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5.75" customHeight="1" x14ac:dyDescent="0.2">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5.75" customHeight="1" x14ac:dyDescent="0.2">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5.75" customHeight="1" x14ac:dyDescent="0.2">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5.75" customHeight="1" x14ac:dyDescent="0.2">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5.75" customHeight="1" x14ac:dyDescent="0.2">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5.75" customHeight="1" x14ac:dyDescent="0.2">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5.75" customHeight="1" x14ac:dyDescent="0.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5.75" customHeight="1" x14ac:dyDescent="0.2">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5.75" customHeight="1" x14ac:dyDescent="0.2">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5.75" customHeight="1" x14ac:dyDescent="0.2">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5.75" customHeight="1" x14ac:dyDescent="0.2">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5.75" customHeight="1" x14ac:dyDescent="0.2">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5.75" customHeight="1" x14ac:dyDescent="0.2">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5.75" customHeight="1" x14ac:dyDescent="0.2">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5.75" customHeight="1" x14ac:dyDescent="0.2">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5.75" customHeight="1" x14ac:dyDescent="0.2">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5.75" customHeight="1" x14ac:dyDescent="0.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5.75" customHeight="1" x14ac:dyDescent="0.2">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5.75" customHeight="1" x14ac:dyDescent="0.2">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5.75" customHeight="1" x14ac:dyDescent="0.2">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5.75" customHeight="1" x14ac:dyDescent="0.2">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5.75" customHeight="1" x14ac:dyDescent="0.2">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5.75" customHeight="1" x14ac:dyDescent="0.2">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5.75" customHeight="1" x14ac:dyDescent="0.2">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5.75" customHeight="1" x14ac:dyDescent="0.2">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5.75" customHeight="1" x14ac:dyDescent="0.2">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5.75" customHeight="1" x14ac:dyDescent="0.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5.75" customHeight="1" x14ac:dyDescent="0.2">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5.75" customHeight="1" x14ac:dyDescent="0.2">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5.75" customHeight="1" x14ac:dyDescent="0.2">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5.75" customHeight="1" x14ac:dyDescent="0.2">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5.75" customHeight="1" x14ac:dyDescent="0.2">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5.75" customHeight="1" x14ac:dyDescent="0.2">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5.75" customHeight="1" x14ac:dyDescent="0.2">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5.75" customHeight="1" x14ac:dyDescent="0.2">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5.75" customHeight="1" x14ac:dyDescent="0.2">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5.75" customHeight="1" x14ac:dyDescent="0.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5.75" customHeight="1" x14ac:dyDescent="0.2">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5.75" customHeight="1" x14ac:dyDescent="0.2">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5.75" customHeight="1" x14ac:dyDescent="0.2">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5.75" customHeight="1" x14ac:dyDescent="0.2">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5.75" customHeight="1" x14ac:dyDescent="0.2">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5.75" customHeight="1" x14ac:dyDescent="0.2">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5.75" customHeight="1" x14ac:dyDescent="0.2">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5.75" customHeight="1" x14ac:dyDescent="0.2">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5.75" customHeight="1" x14ac:dyDescent="0.2">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5.75" customHeight="1" x14ac:dyDescent="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5.75" customHeight="1" x14ac:dyDescent="0.2">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5.75" customHeight="1" x14ac:dyDescent="0.2">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5.75" customHeight="1" x14ac:dyDescent="0.2">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5.75" customHeight="1" x14ac:dyDescent="0.2">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5.75" customHeight="1" x14ac:dyDescent="0.2">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5.75" customHeight="1" x14ac:dyDescent="0.2">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5.75" customHeight="1" x14ac:dyDescent="0.2">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5.75" customHeight="1" x14ac:dyDescent="0.2">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5.75" customHeight="1" x14ac:dyDescent="0.2">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5.75" customHeight="1" x14ac:dyDescent="0.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5.75" customHeight="1" x14ac:dyDescent="0.2">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5.75" customHeight="1" x14ac:dyDescent="0.2">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5.75" customHeight="1" x14ac:dyDescent="0.2">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5.75" customHeight="1" x14ac:dyDescent="0.2">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5.75" customHeight="1" x14ac:dyDescent="0.2">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5.75" customHeight="1" x14ac:dyDescent="0.2">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5.75" customHeight="1" x14ac:dyDescent="0.2">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5.75" customHeight="1" x14ac:dyDescent="0.2">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5.75" customHeight="1" x14ac:dyDescent="0.2">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5.75" customHeight="1" x14ac:dyDescent="0.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5.75" customHeight="1" x14ac:dyDescent="0.2">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5.75" customHeight="1" x14ac:dyDescent="0.2">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5.75" customHeight="1" x14ac:dyDescent="0.2">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5.75" customHeight="1" x14ac:dyDescent="0.2">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5.75" customHeight="1" x14ac:dyDescent="0.2">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5.75" customHeight="1" x14ac:dyDescent="0.2">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5.75" customHeight="1" x14ac:dyDescent="0.2">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5.75" customHeight="1" x14ac:dyDescent="0.2">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5.75" customHeight="1" x14ac:dyDescent="0.2">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5.75" customHeight="1" x14ac:dyDescent="0.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5.75" customHeight="1" x14ac:dyDescent="0.2">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5.75" customHeight="1" x14ac:dyDescent="0.2">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5.75" customHeight="1" x14ac:dyDescent="0.2">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5.75" customHeight="1" x14ac:dyDescent="0.2">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5.75" customHeight="1" x14ac:dyDescent="0.2">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5.75" customHeight="1" x14ac:dyDescent="0.2">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5.75" customHeight="1" x14ac:dyDescent="0.2">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5.75" customHeight="1" x14ac:dyDescent="0.2">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5.75" customHeight="1" x14ac:dyDescent="0.2">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5.75" customHeight="1" x14ac:dyDescent="0.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5.75" customHeight="1" x14ac:dyDescent="0.2">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5.75" customHeight="1" x14ac:dyDescent="0.2">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5.75" customHeight="1" x14ac:dyDescent="0.2">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5.75" customHeight="1" x14ac:dyDescent="0.2">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5.75" customHeight="1" x14ac:dyDescent="0.2">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5.75" customHeight="1" x14ac:dyDescent="0.2">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5.75" customHeight="1" x14ac:dyDescent="0.2">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5.75" customHeight="1" x14ac:dyDescent="0.2">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5.75" customHeight="1" x14ac:dyDescent="0.2">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5.75" customHeight="1" x14ac:dyDescent="0.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5.75" customHeight="1" x14ac:dyDescent="0.2">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5.75" customHeight="1" x14ac:dyDescent="0.2">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5.75" customHeight="1" x14ac:dyDescent="0.2">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5.75" customHeight="1" x14ac:dyDescent="0.2">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5.75" customHeight="1" x14ac:dyDescent="0.2">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5.75" customHeight="1" x14ac:dyDescent="0.2">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5.75" customHeight="1" x14ac:dyDescent="0.2">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5.75" customHeight="1" x14ac:dyDescent="0.2">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5.75" customHeight="1" x14ac:dyDescent="0.2">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5.75" customHeight="1" x14ac:dyDescent="0.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5.75" customHeight="1" x14ac:dyDescent="0.2">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5.75" customHeight="1" x14ac:dyDescent="0.2">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5.75" customHeight="1" x14ac:dyDescent="0.2">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5.75" customHeight="1" x14ac:dyDescent="0.2">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5.75" customHeight="1" x14ac:dyDescent="0.2">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5.75" customHeight="1" x14ac:dyDescent="0.2">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5.75" customHeight="1" x14ac:dyDescent="0.2">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5.75" customHeight="1" x14ac:dyDescent="0.2">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5.75" customHeight="1" x14ac:dyDescent="0.2">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5.75" customHeight="1" x14ac:dyDescent="0.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5.75" customHeight="1" x14ac:dyDescent="0.2">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5.75" customHeight="1" x14ac:dyDescent="0.2">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5.75" customHeight="1" x14ac:dyDescent="0.2">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5.75" customHeight="1" x14ac:dyDescent="0.2">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5.75" customHeight="1" x14ac:dyDescent="0.2">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5.75" customHeight="1" x14ac:dyDescent="0.2">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5.75" customHeight="1" x14ac:dyDescent="0.2">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5.75" customHeight="1" x14ac:dyDescent="0.2">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5.75" customHeight="1" x14ac:dyDescent="0.2">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5.75" customHeight="1" x14ac:dyDescent="0.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5.75" customHeight="1" x14ac:dyDescent="0.2">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5.75" customHeight="1" x14ac:dyDescent="0.2">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5.75" customHeight="1" x14ac:dyDescent="0.2">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5.75" customHeight="1" x14ac:dyDescent="0.2">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5.75" customHeight="1" x14ac:dyDescent="0.2">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5.75" customHeight="1" x14ac:dyDescent="0.2">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5.75" customHeight="1" x14ac:dyDescent="0.2">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5.75" customHeight="1" x14ac:dyDescent="0.2">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5.75" customHeight="1" x14ac:dyDescent="0.2">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5.75" customHeight="1" x14ac:dyDescent="0.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5.75" customHeight="1" x14ac:dyDescent="0.2">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5.75" customHeight="1" x14ac:dyDescent="0.2">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5.75" customHeight="1" x14ac:dyDescent="0.2">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5.75" customHeight="1" x14ac:dyDescent="0.2">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5.75" customHeight="1" x14ac:dyDescent="0.2">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5.75" customHeight="1" x14ac:dyDescent="0.2">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5.75" customHeight="1" x14ac:dyDescent="0.2">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5.75" customHeight="1" x14ac:dyDescent="0.2">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5.75" customHeight="1" x14ac:dyDescent="0.2">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5.75" customHeight="1" x14ac:dyDescent="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5.75" customHeight="1" x14ac:dyDescent="0.2">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5.75" customHeight="1" x14ac:dyDescent="0.2">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5.75" customHeight="1" x14ac:dyDescent="0.2">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5.75" customHeight="1" x14ac:dyDescent="0.2">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5.75" customHeight="1" x14ac:dyDescent="0.2">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5.75" customHeight="1" x14ac:dyDescent="0.2">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5.75" customHeight="1" x14ac:dyDescent="0.2">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5.75" customHeight="1" x14ac:dyDescent="0.2">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5.75" customHeight="1" x14ac:dyDescent="0.2">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5.75" customHeight="1" x14ac:dyDescent="0.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5.75" customHeight="1" x14ac:dyDescent="0.2">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5.75" customHeight="1" x14ac:dyDescent="0.2">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5.75" customHeight="1" x14ac:dyDescent="0.2">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5.75" customHeight="1" x14ac:dyDescent="0.2">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5.75" customHeight="1" x14ac:dyDescent="0.2">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5.75" customHeight="1" x14ac:dyDescent="0.2">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5.75" customHeight="1" x14ac:dyDescent="0.2">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5.75" customHeight="1" x14ac:dyDescent="0.2">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5.75" customHeight="1" x14ac:dyDescent="0.2">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5.75" customHeight="1" x14ac:dyDescent="0.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5.75" customHeight="1" x14ac:dyDescent="0.2">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5.75" customHeight="1" x14ac:dyDescent="0.2">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5.75" customHeight="1" x14ac:dyDescent="0.2">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5.75" customHeight="1" x14ac:dyDescent="0.2">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5.75" customHeight="1" x14ac:dyDescent="0.2">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5.75" customHeight="1" x14ac:dyDescent="0.2">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5.75" customHeight="1" x14ac:dyDescent="0.2">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5.75" customHeight="1" x14ac:dyDescent="0.2">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5.75" customHeight="1" x14ac:dyDescent="0.2">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5.75" customHeight="1" x14ac:dyDescent="0.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5.75" customHeight="1" x14ac:dyDescent="0.2">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5.75" customHeight="1" x14ac:dyDescent="0.2">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5.75" customHeight="1" x14ac:dyDescent="0.2">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5.75" customHeight="1" x14ac:dyDescent="0.2">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5.75" customHeight="1" x14ac:dyDescent="0.2">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5.75" customHeight="1" x14ac:dyDescent="0.2">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5.75" customHeight="1" x14ac:dyDescent="0.2">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5.75" customHeight="1" x14ac:dyDescent="0.2">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5.75" customHeight="1" x14ac:dyDescent="0.2">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5.75" customHeight="1" x14ac:dyDescent="0.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5.75" customHeight="1" x14ac:dyDescent="0.2">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5.75" customHeight="1" x14ac:dyDescent="0.2">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5.75" customHeight="1" x14ac:dyDescent="0.2">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5.75" customHeight="1" x14ac:dyDescent="0.2">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5.75" customHeight="1" x14ac:dyDescent="0.2">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5.75" customHeight="1" x14ac:dyDescent="0.2">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5.75" customHeight="1" x14ac:dyDescent="0.2">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5.75" customHeight="1" x14ac:dyDescent="0.2">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5.75" customHeight="1" x14ac:dyDescent="0.2">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5.75" customHeight="1" x14ac:dyDescent="0.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5.75" customHeight="1" x14ac:dyDescent="0.2">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5.75" customHeight="1" x14ac:dyDescent="0.2">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5.75" customHeight="1" x14ac:dyDescent="0.2">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5.75" customHeight="1" x14ac:dyDescent="0.2">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5.75" customHeight="1" x14ac:dyDescent="0.2">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5.75" customHeight="1" x14ac:dyDescent="0.2">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5.75" customHeight="1" x14ac:dyDescent="0.2">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5.75" customHeight="1" x14ac:dyDescent="0.2">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5.75" customHeight="1" x14ac:dyDescent="0.2">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5.75" customHeight="1" x14ac:dyDescent="0.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5.75" customHeight="1" x14ac:dyDescent="0.2">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5.75" customHeight="1" x14ac:dyDescent="0.2">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5.75" customHeight="1" x14ac:dyDescent="0.2">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5.75" customHeight="1" x14ac:dyDescent="0.2">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5.75" customHeight="1" x14ac:dyDescent="0.2">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5.75" customHeight="1" x14ac:dyDescent="0.2">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5.75" customHeight="1" x14ac:dyDescent="0.2">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5.75" customHeight="1" x14ac:dyDescent="0.2">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5.75" customHeight="1" x14ac:dyDescent="0.2">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5.75" customHeight="1" x14ac:dyDescent="0.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5.75" customHeight="1" x14ac:dyDescent="0.2">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5.75" customHeight="1" x14ac:dyDescent="0.2">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5.75" customHeight="1" x14ac:dyDescent="0.2">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5.75" customHeight="1" x14ac:dyDescent="0.2">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5.75" customHeight="1" x14ac:dyDescent="0.2">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5.75" customHeight="1" x14ac:dyDescent="0.2">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5.75" customHeight="1" x14ac:dyDescent="0.2">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5.75" customHeight="1" x14ac:dyDescent="0.2">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5.75" customHeight="1" x14ac:dyDescent="0.2">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5.75" customHeight="1" x14ac:dyDescent="0.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5.75" customHeight="1" x14ac:dyDescent="0.2">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5.75" customHeight="1" x14ac:dyDescent="0.2">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5.75" customHeight="1" x14ac:dyDescent="0.2">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5.75" customHeight="1" x14ac:dyDescent="0.2">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5.75" customHeight="1" x14ac:dyDescent="0.2">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5.75" customHeight="1" x14ac:dyDescent="0.2">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5.75" customHeight="1" x14ac:dyDescent="0.2">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5.75" customHeight="1" x14ac:dyDescent="0.2">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5.75" customHeight="1" x14ac:dyDescent="0.2">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5.75" customHeight="1" x14ac:dyDescent="0.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5.75" customHeight="1" x14ac:dyDescent="0.2">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5.75" customHeight="1" x14ac:dyDescent="0.2">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5.75" customHeight="1" x14ac:dyDescent="0.2">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5.75" customHeight="1" x14ac:dyDescent="0.2">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5.75" customHeight="1" x14ac:dyDescent="0.2">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5.75" customHeight="1" x14ac:dyDescent="0.2">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5.75" customHeight="1" x14ac:dyDescent="0.2">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5.75" customHeight="1" x14ac:dyDescent="0.2">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5.75" customHeight="1" x14ac:dyDescent="0.2">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5.75" customHeight="1" x14ac:dyDescent="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5.75" customHeight="1" x14ac:dyDescent="0.2">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5.75" customHeight="1" x14ac:dyDescent="0.2">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5.75" customHeight="1" x14ac:dyDescent="0.2">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5.75" customHeight="1" x14ac:dyDescent="0.2">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5.75" customHeight="1" x14ac:dyDescent="0.2">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5.75" customHeight="1" x14ac:dyDescent="0.2">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5.75" customHeight="1" x14ac:dyDescent="0.2">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5.75" customHeight="1" x14ac:dyDescent="0.2">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5.75" customHeight="1" x14ac:dyDescent="0.2">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5.75" customHeight="1" x14ac:dyDescent="0.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5.75" customHeight="1" x14ac:dyDescent="0.2">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5.75" customHeight="1" x14ac:dyDescent="0.2">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5.75" customHeight="1" x14ac:dyDescent="0.2">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5.75" customHeight="1" x14ac:dyDescent="0.2">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5.75" customHeight="1" x14ac:dyDescent="0.2">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5.75" customHeight="1" x14ac:dyDescent="0.2">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5.75" customHeight="1" x14ac:dyDescent="0.2">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5.75" customHeight="1" x14ac:dyDescent="0.2">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5.75" customHeight="1" x14ac:dyDescent="0.2">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5.75" customHeight="1" x14ac:dyDescent="0.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5.75" customHeight="1" x14ac:dyDescent="0.2">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5.75" customHeight="1" x14ac:dyDescent="0.2">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5.75" customHeight="1" x14ac:dyDescent="0.2">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5.75" customHeight="1" x14ac:dyDescent="0.2">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5.75" customHeight="1" x14ac:dyDescent="0.2">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5.75" customHeight="1" x14ac:dyDescent="0.2">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5.75" customHeight="1" x14ac:dyDescent="0.2">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5.75" customHeight="1" x14ac:dyDescent="0.2">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5.75" customHeight="1" x14ac:dyDescent="0.2">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5.75" customHeight="1" x14ac:dyDescent="0.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5.75" customHeight="1" x14ac:dyDescent="0.2">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5.75" customHeight="1" x14ac:dyDescent="0.2">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5.75" customHeight="1" x14ac:dyDescent="0.2">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5.75" customHeight="1" x14ac:dyDescent="0.2">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5.75" customHeight="1" x14ac:dyDescent="0.2">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5.75" customHeight="1" x14ac:dyDescent="0.2">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5.75" customHeight="1" x14ac:dyDescent="0.2">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5.75" customHeight="1" x14ac:dyDescent="0.2">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5.75" customHeight="1" x14ac:dyDescent="0.2">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5.75" customHeight="1" x14ac:dyDescent="0.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5.75" customHeight="1" x14ac:dyDescent="0.2">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5.75" customHeight="1" x14ac:dyDescent="0.2">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5.75" customHeight="1" x14ac:dyDescent="0.2">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5.75" customHeight="1" x14ac:dyDescent="0.2">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5.75" customHeight="1" x14ac:dyDescent="0.2">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5.75" customHeight="1" x14ac:dyDescent="0.2">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5.75" customHeight="1" x14ac:dyDescent="0.2">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5.75" customHeight="1" x14ac:dyDescent="0.2">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5.75" customHeight="1" x14ac:dyDescent="0.2">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5.75" customHeight="1" x14ac:dyDescent="0.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5.75" customHeight="1" x14ac:dyDescent="0.2">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5.75" customHeight="1" x14ac:dyDescent="0.2">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5.75" customHeight="1" x14ac:dyDescent="0.2">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5.75" customHeight="1" x14ac:dyDescent="0.2">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5.75" customHeight="1" x14ac:dyDescent="0.2">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5.75" customHeight="1" x14ac:dyDescent="0.2">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5.75" customHeight="1" x14ac:dyDescent="0.2">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5.75" customHeight="1" x14ac:dyDescent="0.2">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5.75" customHeight="1" x14ac:dyDescent="0.2">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5.75" customHeight="1" x14ac:dyDescent="0.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5.75" customHeight="1" x14ac:dyDescent="0.2">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5.75" customHeight="1" x14ac:dyDescent="0.2">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5.75" customHeight="1" x14ac:dyDescent="0.2">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5.75" customHeight="1" x14ac:dyDescent="0.2">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5.75" customHeight="1" x14ac:dyDescent="0.2">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5.75" customHeight="1" x14ac:dyDescent="0.2">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5.75" customHeight="1" x14ac:dyDescent="0.2">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5.75" customHeight="1" x14ac:dyDescent="0.2">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5.75" customHeight="1" x14ac:dyDescent="0.2">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5.75" customHeight="1" x14ac:dyDescent="0.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5.75" customHeight="1" x14ac:dyDescent="0.2">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5.75" customHeight="1" x14ac:dyDescent="0.2">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5.75" customHeight="1" x14ac:dyDescent="0.2">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5.75" customHeight="1" x14ac:dyDescent="0.2">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5.75" customHeight="1" x14ac:dyDescent="0.2">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5.75" customHeight="1" x14ac:dyDescent="0.2">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5.75" customHeight="1" x14ac:dyDescent="0.2">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5.75" customHeight="1" x14ac:dyDescent="0.2">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5.75" customHeight="1" x14ac:dyDescent="0.2">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5.75" customHeight="1" x14ac:dyDescent="0.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5.75" customHeight="1" x14ac:dyDescent="0.2">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5.75" customHeight="1" x14ac:dyDescent="0.2">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5.75" customHeight="1" x14ac:dyDescent="0.2">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5.75" customHeight="1" x14ac:dyDescent="0.2">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5.75" customHeight="1" x14ac:dyDescent="0.2">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5.75" customHeight="1" x14ac:dyDescent="0.2">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5.75" customHeight="1" x14ac:dyDescent="0.2">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5.75" customHeight="1" x14ac:dyDescent="0.2">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5.75" customHeight="1" x14ac:dyDescent="0.2">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5.75" customHeight="1" x14ac:dyDescent="0.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5.75" customHeight="1" x14ac:dyDescent="0.2">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5.75" customHeight="1" x14ac:dyDescent="0.2">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5.75" customHeight="1" x14ac:dyDescent="0.2">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5.75" customHeight="1" x14ac:dyDescent="0.2">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5.75" customHeight="1" x14ac:dyDescent="0.2">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5.75" customHeight="1" x14ac:dyDescent="0.2">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5.75" customHeight="1" x14ac:dyDescent="0.2">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5.75" customHeight="1" x14ac:dyDescent="0.2">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5.75" customHeight="1" x14ac:dyDescent="0.2">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5.75" customHeight="1" x14ac:dyDescent="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5.75" customHeight="1" x14ac:dyDescent="0.2">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5.75" customHeight="1" x14ac:dyDescent="0.2">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5.75" customHeight="1" x14ac:dyDescent="0.2">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5.75" customHeight="1" x14ac:dyDescent="0.2">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5.75" customHeight="1" x14ac:dyDescent="0.2">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5.75" customHeight="1" x14ac:dyDescent="0.2">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5.75" customHeight="1" x14ac:dyDescent="0.2">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5.75" customHeight="1" x14ac:dyDescent="0.2">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5.75" customHeight="1" x14ac:dyDescent="0.2">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5.75" customHeight="1" x14ac:dyDescent="0.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5.75" customHeight="1" x14ac:dyDescent="0.2">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5.75" customHeight="1" x14ac:dyDescent="0.2">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5.75" customHeight="1" x14ac:dyDescent="0.2">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5.75" customHeight="1" x14ac:dyDescent="0.2">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5.75" customHeight="1" x14ac:dyDescent="0.2">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5.75" customHeight="1" x14ac:dyDescent="0.2">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5.75" customHeight="1" x14ac:dyDescent="0.2">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5.75" customHeight="1" x14ac:dyDescent="0.2">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5.75" customHeight="1" x14ac:dyDescent="0.2">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5.75" customHeight="1" x14ac:dyDescent="0.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5.75" customHeight="1" x14ac:dyDescent="0.2">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5.75" customHeight="1" x14ac:dyDescent="0.2">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5.75" customHeight="1" x14ac:dyDescent="0.2">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5.75" customHeight="1" x14ac:dyDescent="0.2">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5.75" customHeight="1" x14ac:dyDescent="0.2">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5.75" customHeight="1" x14ac:dyDescent="0.2">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5.75" customHeight="1" x14ac:dyDescent="0.2">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5.75" customHeight="1" x14ac:dyDescent="0.2">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5.75" customHeight="1" x14ac:dyDescent="0.2">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5.75" customHeight="1" x14ac:dyDescent="0.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5.75" customHeight="1" x14ac:dyDescent="0.2">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5.75" customHeight="1" x14ac:dyDescent="0.2">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5.75" customHeight="1" x14ac:dyDescent="0.2">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5.75" customHeight="1" x14ac:dyDescent="0.2">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5.75" customHeight="1" x14ac:dyDescent="0.2">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5.75" customHeight="1" x14ac:dyDescent="0.2">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5.75" customHeight="1" x14ac:dyDescent="0.2">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5.75" customHeight="1" x14ac:dyDescent="0.2">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5.75" customHeight="1" x14ac:dyDescent="0.2">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5.75" customHeight="1" x14ac:dyDescent="0.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5.75" customHeight="1" x14ac:dyDescent="0.2">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5.75" customHeight="1" x14ac:dyDescent="0.2">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5.75" customHeight="1" x14ac:dyDescent="0.2">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5.75" customHeight="1" x14ac:dyDescent="0.2">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5.75" customHeight="1" x14ac:dyDescent="0.2">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5.75" customHeight="1" x14ac:dyDescent="0.2">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5.75" customHeight="1" x14ac:dyDescent="0.2">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5.75" customHeight="1" x14ac:dyDescent="0.2">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5.75" customHeight="1" x14ac:dyDescent="0.2">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5.75" customHeight="1" x14ac:dyDescent="0.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5.75" customHeight="1" x14ac:dyDescent="0.2">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5.75" customHeight="1" x14ac:dyDescent="0.2">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5.75" customHeight="1" x14ac:dyDescent="0.2">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5.75" customHeight="1" x14ac:dyDescent="0.2">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5.75" customHeight="1" x14ac:dyDescent="0.2">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5.75" customHeight="1" x14ac:dyDescent="0.2">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5.75" customHeight="1" x14ac:dyDescent="0.2">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5.75" customHeight="1" x14ac:dyDescent="0.2">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5.75" customHeight="1" x14ac:dyDescent="0.2">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5.75" customHeight="1" x14ac:dyDescent="0.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5.75" customHeight="1" x14ac:dyDescent="0.2">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5.75" customHeight="1" x14ac:dyDescent="0.2">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5.75" customHeight="1" x14ac:dyDescent="0.2">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5.75" customHeight="1" x14ac:dyDescent="0.2">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5.75" customHeight="1" x14ac:dyDescent="0.2">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5.75" customHeight="1" x14ac:dyDescent="0.2">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5.75" customHeight="1" x14ac:dyDescent="0.2">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5.75" customHeight="1" x14ac:dyDescent="0.2">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5.75" customHeight="1" x14ac:dyDescent="0.2">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5.75" customHeight="1" x14ac:dyDescent="0.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5.75" customHeight="1" x14ac:dyDescent="0.2">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5.75" customHeight="1" x14ac:dyDescent="0.2">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5.75" customHeight="1" x14ac:dyDescent="0.2">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5.75" customHeight="1" x14ac:dyDescent="0.2">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5.75" customHeight="1" x14ac:dyDescent="0.2">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5.75" customHeight="1" x14ac:dyDescent="0.2">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5.75" customHeight="1" x14ac:dyDescent="0.2">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5.75" customHeight="1" x14ac:dyDescent="0.2">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5.75" customHeight="1" x14ac:dyDescent="0.2">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5.75" customHeight="1" x14ac:dyDescent="0.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5.75" customHeight="1" x14ac:dyDescent="0.2">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5.75" customHeight="1" x14ac:dyDescent="0.2">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5.75" customHeight="1" x14ac:dyDescent="0.2">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5.75" customHeight="1" x14ac:dyDescent="0.2">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5.75" customHeight="1" x14ac:dyDescent="0.2">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5.75" customHeight="1" x14ac:dyDescent="0.2">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5.75" customHeight="1" x14ac:dyDescent="0.2">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5.75" customHeight="1" x14ac:dyDescent="0.2">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5.75" customHeight="1" x14ac:dyDescent="0.2">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5.75" customHeight="1" x14ac:dyDescent="0.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5.75" customHeight="1" x14ac:dyDescent="0.2">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5.75" customHeight="1" x14ac:dyDescent="0.2">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5.75" customHeight="1" x14ac:dyDescent="0.2">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5.75" customHeight="1" x14ac:dyDescent="0.2">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5.75" customHeight="1" x14ac:dyDescent="0.2">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5.75" customHeight="1" x14ac:dyDescent="0.2">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5.75" customHeight="1" x14ac:dyDescent="0.2">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5.75" customHeight="1" x14ac:dyDescent="0.2">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5.75" customHeight="1" x14ac:dyDescent="0.2">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5.75" customHeight="1" x14ac:dyDescent="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5.75" customHeight="1" x14ac:dyDescent="0.2">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5.75" customHeight="1" x14ac:dyDescent="0.2">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5.75" customHeight="1" x14ac:dyDescent="0.2">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5.75" customHeight="1" x14ac:dyDescent="0.2">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5.75" customHeight="1" x14ac:dyDescent="0.2">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5.75" customHeight="1" x14ac:dyDescent="0.2">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5.75" customHeight="1" x14ac:dyDescent="0.2">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5.75" customHeight="1" x14ac:dyDescent="0.2">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5.75" customHeight="1" x14ac:dyDescent="0.2">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5.75" customHeight="1" x14ac:dyDescent="0.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5.75" customHeight="1" x14ac:dyDescent="0.2">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5.75" customHeight="1" x14ac:dyDescent="0.2">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5.75" customHeight="1" x14ac:dyDescent="0.2">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5.75" customHeight="1" x14ac:dyDescent="0.2">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5.75" customHeight="1" x14ac:dyDescent="0.2">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5.75" customHeight="1" x14ac:dyDescent="0.2">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5.75" customHeight="1" x14ac:dyDescent="0.2">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5.75" customHeight="1" x14ac:dyDescent="0.2">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5.75" customHeight="1" x14ac:dyDescent="0.2">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5.75" customHeight="1" x14ac:dyDescent="0.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5.75" customHeight="1" x14ac:dyDescent="0.2">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5.75" customHeight="1" x14ac:dyDescent="0.2">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5.75" customHeight="1" x14ac:dyDescent="0.2">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5.75" customHeight="1" x14ac:dyDescent="0.2">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5.75" customHeight="1" x14ac:dyDescent="0.2">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5.75" customHeight="1" x14ac:dyDescent="0.2">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5.75" customHeight="1" x14ac:dyDescent="0.2">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5.75" customHeight="1" x14ac:dyDescent="0.2">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5.75" customHeight="1" x14ac:dyDescent="0.2">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5.75" customHeight="1" x14ac:dyDescent="0.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5.75" customHeight="1" x14ac:dyDescent="0.2">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5.75" customHeight="1" x14ac:dyDescent="0.2">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5.75" customHeight="1" x14ac:dyDescent="0.2">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5.75" customHeight="1" x14ac:dyDescent="0.2">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5.75" customHeight="1" x14ac:dyDescent="0.2">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5.75" customHeight="1" x14ac:dyDescent="0.2">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5.75" customHeight="1" x14ac:dyDescent="0.2">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5.75" customHeight="1" x14ac:dyDescent="0.2">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5.75" customHeight="1" x14ac:dyDescent="0.2">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5.75" customHeight="1" x14ac:dyDescent="0.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5.75" customHeight="1" x14ac:dyDescent="0.2">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5.75" customHeight="1" x14ac:dyDescent="0.2">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5.75" customHeight="1" x14ac:dyDescent="0.2">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5.75" customHeight="1" x14ac:dyDescent="0.2">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5.75" customHeight="1" x14ac:dyDescent="0.2">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5.75" customHeight="1" x14ac:dyDescent="0.2">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5.75" customHeight="1" x14ac:dyDescent="0.2">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5.75" customHeight="1" x14ac:dyDescent="0.2">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5.75" customHeight="1" x14ac:dyDescent="0.2">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5.75" customHeight="1" x14ac:dyDescent="0.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5.75" customHeight="1" x14ac:dyDescent="0.2">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5.75" customHeight="1" x14ac:dyDescent="0.2">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5.75" customHeight="1" x14ac:dyDescent="0.2">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5.75" customHeight="1" x14ac:dyDescent="0.2">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5.75" customHeight="1" x14ac:dyDescent="0.2">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5.75" customHeight="1" x14ac:dyDescent="0.2">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5.75" customHeight="1" x14ac:dyDescent="0.2">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5.75" customHeight="1" x14ac:dyDescent="0.2">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5.75" customHeight="1" x14ac:dyDescent="0.2">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5.75" customHeight="1" x14ac:dyDescent="0.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5.75" customHeight="1" x14ac:dyDescent="0.2">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5.75" customHeight="1" x14ac:dyDescent="0.2">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5.75" customHeight="1" x14ac:dyDescent="0.2">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5.75" customHeight="1" x14ac:dyDescent="0.2">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5.75" customHeight="1" x14ac:dyDescent="0.2">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5.75" customHeight="1" x14ac:dyDescent="0.2">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5.75" customHeight="1" x14ac:dyDescent="0.2">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5.75" customHeight="1" x14ac:dyDescent="0.2">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5.75" customHeight="1" x14ac:dyDescent="0.2">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5.75" customHeight="1" x14ac:dyDescent="0.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5.75" customHeight="1" x14ac:dyDescent="0.2">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5.75" customHeight="1" x14ac:dyDescent="0.2">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5.75" customHeight="1" x14ac:dyDescent="0.2">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5.75" customHeight="1" x14ac:dyDescent="0.2">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5.75" customHeight="1" x14ac:dyDescent="0.2">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5.75" customHeight="1" x14ac:dyDescent="0.2">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5.75" customHeight="1" x14ac:dyDescent="0.2">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5.75" customHeight="1" x14ac:dyDescent="0.2">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5.75" customHeight="1" x14ac:dyDescent="0.2">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5.75" customHeight="1" x14ac:dyDescent="0.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5.75" customHeight="1" x14ac:dyDescent="0.2">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5.75" customHeight="1" x14ac:dyDescent="0.2">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5.75" customHeight="1" x14ac:dyDescent="0.2">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5.75" customHeight="1" x14ac:dyDescent="0.2">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5.75" customHeight="1" x14ac:dyDescent="0.2">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5.75" customHeight="1" x14ac:dyDescent="0.2">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5.75" customHeight="1" x14ac:dyDescent="0.2">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5.75" customHeight="1" x14ac:dyDescent="0.2">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5.75" customHeight="1" x14ac:dyDescent="0.2">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5.75" customHeight="1" x14ac:dyDescent="0.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5.75" customHeight="1" x14ac:dyDescent="0.2">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5.75" customHeight="1" x14ac:dyDescent="0.2">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5.75" customHeight="1" x14ac:dyDescent="0.2">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5.75" customHeight="1" x14ac:dyDescent="0.2">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5.75" customHeight="1" x14ac:dyDescent="0.2">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5.75" customHeight="1" x14ac:dyDescent="0.2">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5.75" customHeight="1" x14ac:dyDescent="0.2">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5.75" customHeight="1" x14ac:dyDescent="0.2">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5.75" customHeight="1" x14ac:dyDescent="0.2">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5.75" customHeight="1" x14ac:dyDescent="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5.75" customHeight="1" x14ac:dyDescent="0.2">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5.75" customHeight="1" x14ac:dyDescent="0.2">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5.75" customHeight="1" x14ac:dyDescent="0.2">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5.75" customHeight="1" x14ac:dyDescent="0.2">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5.75" customHeight="1" x14ac:dyDescent="0.2">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5.75" customHeight="1" x14ac:dyDescent="0.2">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5.75" customHeight="1" x14ac:dyDescent="0.2">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5.75" customHeight="1" x14ac:dyDescent="0.2">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5.75" customHeight="1" x14ac:dyDescent="0.2">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5.75" customHeight="1" x14ac:dyDescent="0.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5.75" customHeight="1" x14ac:dyDescent="0.2">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5.75" customHeight="1" x14ac:dyDescent="0.2">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5.75" customHeight="1" x14ac:dyDescent="0.2">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5.75" customHeight="1" x14ac:dyDescent="0.2">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5.75" customHeight="1" x14ac:dyDescent="0.2">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5.75" customHeight="1" x14ac:dyDescent="0.2">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5.75" customHeight="1" x14ac:dyDescent="0.2">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5.75" customHeight="1" x14ac:dyDescent="0.2">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5.75" customHeight="1" x14ac:dyDescent="0.2">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5.75" customHeight="1" x14ac:dyDescent="0.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5.75" customHeight="1" x14ac:dyDescent="0.2">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5.75" customHeight="1" x14ac:dyDescent="0.2">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5.75" customHeight="1" x14ac:dyDescent="0.2">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5.75" customHeight="1" x14ac:dyDescent="0.2">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5.75" customHeight="1" x14ac:dyDescent="0.2">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5.75" customHeight="1" x14ac:dyDescent="0.2">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5.75" customHeight="1" x14ac:dyDescent="0.2">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5.75" customHeight="1" x14ac:dyDescent="0.2">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5.75" customHeight="1" x14ac:dyDescent="0.2">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5.75" customHeight="1" x14ac:dyDescent="0.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5.75" customHeight="1" x14ac:dyDescent="0.2">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5.75" customHeight="1" x14ac:dyDescent="0.2">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5.75" customHeight="1" x14ac:dyDescent="0.2">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5.75" customHeight="1" x14ac:dyDescent="0.2">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5.75" customHeight="1" x14ac:dyDescent="0.2">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5.75" customHeight="1" x14ac:dyDescent="0.2">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5.75" customHeight="1" x14ac:dyDescent="0.2">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5.75" customHeight="1" x14ac:dyDescent="0.2">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5.75" customHeight="1" x14ac:dyDescent="0.2">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5.75" customHeight="1" x14ac:dyDescent="0.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5.75" customHeight="1" x14ac:dyDescent="0.2">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5.75" customHeight="1" x14ac:dyDescent="0.2">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5.75" customHeight="1" x14ac:dyDescent="0.2">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5.75" customHeight="1" x14ac:dyDescent="0.2">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5.75" customHeight="1" x14ac:dyDescent="0.2">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5.75" customHeight="1" x14ac:dyDescent="0.2">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5.75" customHeight="1" x14ac:dyDescent="0.2">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5.75" customHeight="1" x14ac:dyDescent="0.2">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5.75" customHeight="1" x14ac:dyDescent="0.2">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5.75" customHeight="1" x14ac:dyDescent="0.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5.75" customHeight="1" x14ac:dyDescent="0.2">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5.75" customHeight="1" x14ac:dyDescent="0.2">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5.75" customHeight="1" x14ac:dyDescent="0.2">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5.75" customHeight="1" x14ac:dyDescent="0.2">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5.75" customHeight="1" x14ac:dyDescent="0.2">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5.75" customHeight="1" x14ac:dyDescent="0.2">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5.75" customHeight="1" x14ac:dyDescent="0.2">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5.75" customHeight="1" x14ac:dyDescent="0.2">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5.75" customHeight="1" x14ac:dyDescent="0.2">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5.75" customHeight="1" x14ac:dyDescent="0.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5.75" customHeight="1" x14ac:dyDescent="0.2">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5.75" customHeight="1" x14ac:dyDescent="0.2">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5.75" customHeight="1" x14ac:dyDescent="0.2">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5.75" customHeight="1" x14ac:dyDescent="0.2">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5.75" customHeight="1" x14ac:dyDescent="0.2">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5.75" customHeight="1" x14ac:dyDescent="0.2">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5.75" customHeight="1" x14ac:dyDescent="0.2">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5.75" customHeight="1" x14ac:dyDescent="0.2">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5.75" customHeight="1" x14ac:dyDescent="0.2">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5.75" customHeight="1" x14ac:dyDescent="0.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5.75" customHeight="1" x14ac:dyDescent="0.2">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5.75" customHeight="1" x14ac:dyDescent="0.2">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5.75" customHeight="1" x14ac:dyDescent="0.2">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5.75" customHeight="1" x14ac:dyDescent="0.2">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5.75" customHeight="1" x14ac:dyDescent="0.2">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5.75" customHeight="1" x14ac:dyDescent="0.2">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5.75" customHeight="1" x14ac:dyDescent="0.2">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5.75" customHeight="1" x14ac:dyDescent="0.2">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5.75" customHeight="1" x14ac:dyDescent="0.2">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5.75" customHeight="1" x14ac:dyDescent="0.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5.75" customHeight="1" x14ac:dyDescent="0.2">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5.75" customHeight="1" x14ac:dyDescent="0.2">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5.75" customHeight="1" x14ac:dyDescent="0.2">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5.75" customHeight="1" x14ac:dyDescent="0.2">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5.75" customHeight="1" x14ac:dyDescent="0.2">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5.75" customHeight="1" x14ac:dyDescent="0.2">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5.75" customHeight="1" x14ac:dyDescent="0.2">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5.75" customHeight="1" x14ac:dyDescent="0.2">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5.75" customHeight="1" x14ac:dyDescent="0.2">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5.75" customHeight="1" x14ac:dyDescent="0.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5.75" customHeight="1" x14ac:dyDescent="0.2">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5.75" customHeight="1" x14ac:dyDescent="0.2">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5.75" customHeight="1" x14ac:dyDescent="0.2">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5.75" customHeight="1" x14ac:dyDescent="0.2">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5.75" customHeight="1" x14ac:dyDescent="0.2">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5.75" customHeight="1" x14ac:dyDescent="0.2">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5.75" customHeight="1" x14ac:dyDescent="0.2">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5.75" customHeight="1" x14ac:dyDescent="0.2">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5.75" customHeight="1" x14ac:dyDescent="0.2">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5.75" customHeight="1" x14ac:dyDescent="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5.75" customHeight="1" x14ac:dyDescent="0.2">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5.75" customHeight="1" x14ac:dyDescent="0.2">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5.75" customHeight="1" x14ac:dyDescent="0.2">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5.75" customHeight="1" x14ac:dyDescent="0.2">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5.75" customHeight="1" x14ac:dyDescent="0.2">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5.75" customHeight="1" x14ac:dyDescent="0.2">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5.75" customHeight="1" x14ac:dyDescent="0.2">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5.75" customHeight="1" x14ac:dyDescent="0.2">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5.75" customHeight="1" x14ac:dyDescent="0.2">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5.75" customHeight="1" x14ac:dyDescent="0.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5.75" customHeight="1" x14ac:dyDescent="0.2">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5.75" customHeight="1" x14ac:dyDescent="0.2">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5.75" customHeight="1" x14ac:dyDescent="0.2">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5.75" customHeight="1" x14ac:dyDescent="0.2">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5.75" customHeight="1" x14ac:dyDescent="0.2">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5.75" customHeight="1" x14ac:dyDescent="0.2">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5.75" customHeight="1" x14ac:dyDescent="0.2">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5.75" customHeight="1" x14ac:dyDescent="0.2">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5.75" customHeight="1" x14ac:dyDescent="0.2">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5.75" customHeight="1" x14ac:dyDescent="0.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5.75" customHeight="1" x14ac:dyDescent="0.2">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5.75" customHeight="1" x14ac:dyDescent="0.2">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5.75" customHeight="1" x14ac:dyDescent="0.2">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5.75" customHeight="1" x14ac:dyDescent="0.2">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5.75" customHeight="1" x14ac:dyDescent="0.2">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5.75" customHeight="1" x14ac:dyDescent="0.2">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5.75" customHeight="1" x14ac:dyDescent="0.2">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5.75" customHeight="1" x14ac:dyDescent="0.2">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5.75" customHeight="1" x14ac:dyDescent="0.2">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5.75" customHeight="1" x14ac:dyDescent="0.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5.75" customHeight="1" x14ac:dyDescent="0.2">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5.75" customHeight="1" x14ac:dyDescent="0.2">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5.75" customHeight="1" x14ac:dyDescent="0.2">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5.75" customHeight="1" x14ac:dyDescent="0.2">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5.75" customHeight="1" x14ac:dyDescent="0.2">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5.75" customHeight="1" x14ac:dyDescent="0.2">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5.75" customHeight="1" x14ac:dyDescent="0.2">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5.75" customHeight="1" x14ac:dyDescent="0.2">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5.75" customHeight="1" x14ac:dyDescent="0.2">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5.75" customHeight="1" x14ac:dyDescent="0.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5.75" customHeight="1" x14ac:dyDescent="0.2">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5.75" customHeight="1" x14ac:dyDescent="0.2">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5.75" customHeight="1" x14ac:dyDescent="0.2">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5.75" customHeight="1" x14ac:dyDescent="0.2">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5.75" customHeight="1" x14ac:dyDescent="0.2">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5.75" customHeight="1" x14ac:dyDescent="0.2">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5.75" customHeight="1" x14ac:dyDescent="0.2">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5.75" customHeight="1" x14ac:dyDescent="0.2">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5.75" customHeight="1" x14ac:dyDescent="0.2">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5.75" customHeight="1" x14ac:dyDescent="0.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5.75" customHeight="1" x14ac:dyDescent="0.2">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5.75" customHeight="1" x14ac:dyDescent="0.2">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5.75" customHeight="1" x14ac:dyDescent="0.2">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5.75" customHeight="1" x14ac:dyDescent="0.2">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5.75" customHeight="1" x14ac:dyDescent="0.2">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5.75" customHeight="1" x14ac:dyDescent="0.2">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5.75" customHeight="1" x14ac:dyDescent="0.2">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5.75" customHeight="1" x14ac:dyDescent="0.2">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5.75" customHeight="1" x14ac:dyDescent="0.2">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5.75" customHeight="1" x14ac:dyDescent="0.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5.75" customHeight="1" x14ac:dyDescent="0.2">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5.75" customHeight="1" x14ac:dyDescent="0.2">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5.75" customHeight="1" x14ac:dyDescent="0.2">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5.75" customHeight="1" x14ac:dyDescent="0.2">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5.75" customHeight="1" x14ac:dyDescent="0.2">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5.75" customHeight="1" x14ac:dyDescent="0.2">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5.75" customHeight="1" x14ac:dyDescent="0.2">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5.75" customHeight="1" x14ac:dyDescent="0.2">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5.75" customHeight="1" x14ac:dyDescent="0.2">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5.75" customHeight="1" x14ac:dyDescent="0.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5.75" customHeight="1" x14ac:dyDescent="0.2">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5.75" customHeight="1" x14ac:dyDescent="0.2">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5.75" customHeight="1" x14ac:dyDescent="0.2">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5.75" customHeight="1" x14ac:dyDescent="0.2">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5.75" customHeight="1" x14ac:dyDescent="0.2">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5.75" customHeight="1" x14ac:dyDescent="0.2">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5.75" customHeight="1" x14ac:dyDescent="0.2">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5.75" customHeight="1" x14ac:dyDescent="0.2">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5.75" customHeight="1" x14ac:dyDescent="0.2">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5.75" customHeight="1" x14ac:dyDescent="0.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5.75" customHeight="1" x14ac:dyDescent="0.2">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5.75" customHeight="1" x14ac:dyDescent="0.2">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5.75" customHeight="1" x14ac:dyDescent="0.2">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5.75" customHeight="1" x14ac:dyDescent="0.2">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5.75" customHeight="1" x14ac:dyDescent="0.2">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5.75" customHeight="1" x14ac:dyDescent="0.2">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5.75" customHeight="1" x14ac:dyDescent="0.2">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5.75" customHeight="1" x14ac:dyDescent="0.2">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5.75" customHeight="1" x14ac:dyDescent="0.2">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5.75" customHeight="1" x14ac:dyDescent="0.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5.75" customHeight="1" x14ac:dyDescent="0.2">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5.75" customHeight="1" x14ac:dyDescent="0.2">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5.75" customHeight="1" x14ac:dyDescent="0.2">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5.75" customHeight="1" x14ac:dyDescent="0.2">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5.75" customHeight="1" x14ac:dyDescent="0.2">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5.75" customHeight="1" x14ac:dyDescent="0.2">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5.75" customHeight="1" x14ac:dyDescent="0.2">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5.75" customHeight="1" x14ac:dyDescent="0.2">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5.75" customHeight="1" x14ac:dyDescent="0.2">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5.75" customHeight="1" x14ac:dyDescent="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5.75" customHeight="1" x14ac:dyDescent="0.2">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5.75" customHeight="1" x14ac:dyDescent="0.2">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5.75" customHeight="1" x14ac:dyDescent="0.2">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5.75" customHeight="1" x14ac:dyDescent="0.2">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5.75" customHeight="1" x14ac:dyDescent="0.2">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5.75" customHeight="1" x14ac:dyDescent="0.2">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5.75" customHeight="1" x14ac:dyDescent="0.2">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5.75" customHeight="1" x14ac:dyDescent="0.2">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5.75" customHeight="1" x14ac:dyDescent="0.2">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5.75" customHeight="1" x14ac:dyDescent="0.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5.75" customHeight="1" x14ac:dyDescent="0.2">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5.75" customHeight="1" x14ac:dyDescent="0.2">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5.75" customHeight="1" x14ac:dyDescent="0.2">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5.75" customHeight="1" x14ac:dyDescent="0.2">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5.75" customHeight="1" x14ac:dyDescent="0.2">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5.75" customHeight="1" x14ac:dyDescent="0.2">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5.75" customHeight="1" x14ac:dyDescent="0.2">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5.75" customHeight="1" x14ac:dyDescent="0.2">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5.75" customHeight="1" x14ac:dyDescent="0.2">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5.75" customHeight="1" x14ac:dyDescent="0.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5.75" customHeight="1" x14ac:dyDescent="0.2">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5.75" customHeight="1" x14ac:dyDescent="0.2">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5.75" customHeight="1" x14ac:dyDescent="0.2">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5.75" customHeight="1" x14ac:dyDescent="0.2">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5.75" customHeight="1" x14ac:dyDescent="0.2">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5.75" customHeight="1" x14ac:dyDescent="0.2">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5.75" customHeight="1" x14ac:dyDescent="0.2">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5.75" customHeight="1" x14ac:dyDescent="0.2">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5.75" customHeight="1" x14ac:dyDescent="0.2">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5.75" customHeight="1" x14ac:dyDescent="0.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5.75" customHeight="1" x14ac:dyDescent="0.2">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5.75" customHeight="1" x14ac:dyDescent="0.2">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5.75" customHeight="1" x14ac:dyDescent="0.2">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5.75" customHeight="1" x14ac:dyDescent="0.2">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5.75" customHeight="1" x14ac:dyDescent="0.2">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5.75" customHeight="1" x14ac:dyDescent="0.2">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5.75" customHeight="1" x14ac:dyDescent="0.2">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5.75" customHeight="1" x14ac:dyDescent="0.2">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5.75" customHeight="1" x14ac:dyDescent="0.2">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5.75" customHeight="1" x14ac:dyDescent="0.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5.75" customHeight="1" x14ac:dyDescent="0.2">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5.75" customHeight="1" x14ac:dyDescent="0.2">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5.75" customHeight="1" x14ac:dyDescent="0.2">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5.75" customHeight="1" x14ac:dyDescent="0.2">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5.75" customHeight="1" x14ac:dyDescent="0.2">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5.75" customHeight="1" x14ac:dyDescent="0.2">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5.75" customHeight="1" x14ac:dyDescent="0.2">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5.75" customHeight="1" x14ac:dyDescent="0.2">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5.75" customHeight="1" x14ac:dyDescent="0.2">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5.75" customHeight="1" x14ac:dyDescent="0.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5.75" customHeight="1" x14ac:dyDescent="0.2">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5.75" customHeight="1" x14ac:dyDescent="0.2">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5.75" customHeight="1" x14ac:dyDescent="0.2">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5.75" customHeight="1" x14ac:dyDescent="0.2">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5.75" customHeight="1" x14ac:dyDescent="0.2">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5.75" customHeight="1" x14ac:dyDescent="0.2">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5.75" customHeight="1" x14ac:dyDescent="0.2">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5.75" customHeight="1" x14ac:dyDescent="0.2">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5.75" customHeight="1" x14ac:dyDescent="0.2">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5.75" customHeight="1" x14ac:dyDescent="0.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5.75" customHeight="1" x14ac:dyDescent="0.2">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5.75" customHeight="1" x14ac:dyDescent="0.2">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5.75" customHeight="1" x14ac:dyDescent="0.2">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5.75" customHeight="1" x14ac:dyDescent="0.2">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5.75" customHeight="1" x14ac:dyDescent="0.2">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5.75" customHeight="1" x14ac:dyDescent="0.2">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5.75" customHeight="1" x14ac:dyDescent="0.2">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5.75" customHeight="1" x14ac:dyDescent="0.2">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5.75" customHeight="1" x14ac:dyDescent="0.2">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5.75" customHeight="1" x14ac:dyDescent="0.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5.75" customHeight="1" x14ac:dyDescent="0.2">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5.75" customHeight="1" x14ac:dyDescent="0.2">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5.75" customHeight="1" x14ac:dyDescent="0.2">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5.75" customHeight="1" x14ac:dyDescent="0.2">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5.75" customHeight="1" x14ac:dyDescent="0.2">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5.75" customHeight="1" x14ac:dyDescent="0.2">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5.75" customHeight="1" x14ac:dyDescent="0.2">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5.75" customHeight="1" x14ac:dyDescent="0.2">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5.75" customHeight="1" x14ac:dyDescent="0.2">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5.75" customHeight="1" x14ac:dyDescent="0.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5.75" customHeight="1" x14ac:dyDescent="0.2">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5.75" customHeight="1" x14ac:dyDescent="0.2">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5.75" customHeight="1" x14ac:dyDescent="0.2">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5.75" customHeight="1" x14ac:dyDescent="0.2">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5.75" customHeight="1" x14ac:dyDescent="0.2">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5.75" customHeight="1" x14ac:dyDescent="0.2">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5.75" customHeight="1" x14ac:dyDescent="0.2">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5.75" customHeight="1" x14ac:dyDescent="0.2">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5.75" customHeight="1" x14ac:dyDescent="0.2">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5.75" customHeight="1" x14ac:dyDescent="0.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5.75" customHeight="1" x14ac:dyDescent="0.2">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5.75" customHeight="1" x14ac:dyDescent="0.2">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5.75" customHeight="1" x14ac:dyDescent="0.2">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5.75" customHeight="1" x14ac:dyDescent="0.2">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5.75" customHeight="1" x14ac:dyDescent="0.2">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5.75" customHeight="1" x14ac:dyDescent="0.2">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5.75" customHeight="1" x14ac:dyDescent="0.2">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5.75" customHeight="1" x14ac:dyDescent="0.2">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spans="1:26" ht="15.75" customHeight="1" x14ac:dyDescent="0.2">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spans="1:26" ht="15.75" customHeight="1" x14ac:dyDescent="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row r="1003" spans="1:26" ht="15.75" customHeight="1" x14ac:dyDescent="0.2">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row>
    <row r="1004" spans="1:26" ht="15.75" customHeight="1" x14ac:dyDescent="0.2">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row>
    <row r="1005" spans="1:26" ht="15.75" customHeight="1" x14ac:dyDescent="0.2">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row>
    <row r="1006" spans="1:26" ht="15.75" customHeight="1" x14ac:dyDescent="0.2">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row>
    <row r="1007" spans="1:26" ht="15.75" customHeight="1" x14ac:dyDescent="0.2">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row>
    <row r="1008" spans="1:26" ht="15.75" customHeight="1" x14ac:dyDescent="0.2">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row>
    <row r="1009" spans="1:26" ht="15.75" customHeight="1" x14ac:dyDescent="0.2">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row>
    <row r="1010" spans="1:26" ht="15.75" customHeight="1" x14ac:dyDescent="0.2">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row>
    <row r="1011" spans="1:26" ht="15.75" customHeight="1" x14ac:dyDescent="0.2">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row>
    <row r="1012" spans="1:26" ht="15.75" customHeight="1" x14ac:dyDescent="0.2">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row>
    <row r="1013" spans="1:26" ht="15.75" customHeight="1" x14ac:dyDescent="0.2">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row>
    <row r="1014" spans="1:26" ht="15.75" customHeight="1" x14ac:dyDescent="0.2">
      <c r="A1014" s="9"/>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row>
    <row r="1015" spans="1:26" ht="15.75" customHeight="1" x14ac:dyDescent="0.2">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row>
    <row r="1016" spans="1:26" ht="15.75" customHeight="1" x14ac:dyDescent="0.2">
      <c r="A1016" s="9"/>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9"/>
    </row>
    <row r="1017" spans="1:26" ht="15.75" customHeight="1" x14ac:dyDescent="0.2">
      <c r="A1017" s="9"/>
      <c r="B1017" s="9"/>
      <c r="C1017" s="9"/>
      <c r="D1017" s="9"/>
      <c r="E1017" s="9"/>
      <c r="F1017" s="9"/>
      <c r="G1017" s="9"/>
      <c r="H1017" s="9"/>
      <c r="I1017" s="9"/>
      <c r="J1017" s="9"/>
      <c r="K1017" s="9"/>
      <c r="L1017" s="9"/>
      <c r="M1017" s="9"/>
      <c r="N1017" s="9"/>
      <c r="O1017" s="9"/>
      <c r="P1017" s="9"/>
      <c r="Q1017" s="9"/>
      <c r="R1017" s="9"/>
      <c r="S1017" s="9"/>
      <c r="T1017" s="9"/>
      <c r="U1017" s="9"/>
      <c r="V1017" s="9"/>
      <c r="W1017" s="9"/>
      <c r="X1017" s="9"/>
      <c r="Y1017" s="9"/>
      <c r="Z1017" s="9"/>
    </row>
    <row r="1018" spans="1:26" ht="15.75" customHeight="1" x14ac:dyDescent="0.2">
      <c r="A1018" s="9"/>
      <c r="B1018" s="9"/>
      <c r="C1018" s="9"/>
      <c r="D1018" s="9"/>
      <c r="E1018" s="9"/>
      <c r="F1018" s="9"/>
      <c r="G1018" s="9"/>
      <c r="H1018" s="9"/>
      <c r="I1018" s="9"/>
      <c r="J1018" s="9"/>
      <c r="K1018" s="9"/>
      <c r="L1018" s="9"/>
      <c r="M1018" s="9"/>
      <c r="N1018" s="9"/>
      <c r="O1018" s="9"/>
      <c r="P1018" s="9"/>
      <c r="Q1018" s="9"/>
      <c r="R1018" s="9"/>
      <c r="S1018" s="9"/>
      <c r="T1018" s="9"/>
      <c r="U1018" s="9"/>
      <c r="V1018" s="9"/>
      <c r="W1018" s="9"/>
      <c r="X1018" s="9"/>
      <c r="Y1018" s="9"/>
      <c r="Z1018" s="9"/>
    </row>
    <row r="1019" spans="1:26" ht="15.75" customHeight="1" x14ac:dyDescent="0.2">
      <c r="A1019" s="9"/>
      <c r="B1019" s="9"/>
      <c r="C1019" s="9"/>
      <c r="D1019" s="9"/>
      <c r="E1019" s="9"/>
      <c r="F1019" s="9"/>
      <c r="G1019" s="9"/>
      <c r="H1019" s="9"/>
      <c r="I1019" s="9"/>
      <c r="J1019" s="9"/>
      <c r="K1019" s="9"/>
      <c r="L1019" s="9"/>
      <c r="M1019" s="9"/>
      <c r="N1019" s="9"/>
      <c r="O1019" s="9"/>
      <c r="P1019" s="9"/>
      <c r="Q1019" s="9"/>
      <c r="R1019" s="9"/>
      <c r="S1019" s="9"/>
      <c r="T1019" s="9"/>
      <c r="U1019" s="9"/>
      <c r="V1019" s="9"/>
      <c r="W1019" s="9"/>
      <c r="X1019" s="9"/>
      <c r="Y1019" s="9"/>
      <c r="Z1019" s="9"/>
    </row>
    <row r="1020" spans="1:26" ht="15.75" customHeight="1" x14ac:dyDescent="0.2">
      <c r="A1020" s="9"/>
      <c r="B1020" s="9"/>
      <c r="C1020" s="9"/>
      <c r="D1020" s="9"/>
      <c r="E1020" s="9"/>
      <c r="F1020" s="9"/>
      <c r="G1020" s="9"/>
      <c r="H1020" s="9"/>
      <c r="I1020" s="9"/>
      <c r="J1020" s="9"/>
      <c r="K1020" s="9"/>
      <c r="L1020" s="9"/>
      <c r="M1020" s="9"/>
      <c r="N1020" s="9"/>
      <c r="O1020" s="9"/>
      <c r="P1020" s="9"/>
      <c r="Q1020" s="9"/>
      <c r="R1020" s="9"/>
      <c r="S1020" s="9"/>
      <c r="T1020" s="9"/>
      <c r="U1020" s="9"/>
      <c r="V1020" s="9"/>
      <c r="W1020" s="9"/>
      <c r="X1020" s="9"/>
      <c r="Y1020" s="9"/>
      <c r="Z1020" s="9"/>
    </row>
    <row r="1021" spans="1:26" ht="15.75" customHeight="1" x14ac:dyDescent="0.2">
      <c r="A1021" s="9"/>
      <c r="B1021" s="9"/>
      <c r="C1021" s="9"/>
      <c r="D1021" s="9"/>
      <c r="E1021" s="9"/>
      <c r="F1021" s="9"/>
      <c r="G1021" s="9"/>
      <c r="H1021" s="9"/>
      <c r="I1021" s="9"/>
      <c r="J1021" s="9"/>
      <c r="K1021" s="9"/>
      <c r="L1021" s="9"/>
      <c r="M1021" s="9"/>
      <c r="N1021" s="9"/>
      <c r="O1021" s="9"/>
      <c r="P1021" s="9"/>
      <c r="Q1021" s="9"/>
      <c r="R1021" s="9"/>
      <c r="S1021" s="9"/>
      <c r="T1021" s="9"/>
      <c r="U1021" s="9"/>
      <c r="V1021" s="9"/>
      <c r="W1021" s="9"/>
      <c r="X1021" s="9"/>
      <c r="Y1021" s="9"/>
      <c r="Z1021" s="9"/>
    </row>
    <row r="1022" spans="1:26" ht="15.75" customHeight="1" x14ac:dyDescent="0.2">
      <c r="A1022" s="9"/>
      <c r="B1022" s="9"/>
      <c r="C1022" s="9"/>
      <c r="D1022" s="9"/>
      <c r="E1022" s="9"/>
      <c r="F1022" s="9"/>
      <c r="G1022" s="9"/>
      <c r="H1022" s="9"/>
      <c r="I1022" s="9"/>
      <c r="J1022" s="9"/>
      <c r="K1022" s="9"/>
      <c r="L1022" s="9"/>
      <c r="M1022" s="9"/>
      <c r="N1022" s="9"/>
      <c r="O1022" s="9"/>
      <c r="P1022" s="9"/>
      <c r="Q1022" s="9"/>
      <c r="R1022" s="9"/>
      <c r="S1022" s="9"/>
      <c r="T1022" s="9"/>
      <c r="U1022" s="9"/>
      <c r="V1022" s="9"/>
      <c r="W1022" s="9"/>
      <c r="X1022" s="9"/>
      <c r="Y1022" s="9"/>
      <c r="Z1022" s="9"/>
    </row>
    <row r="1023" spans="1:26" ht="15.75" customHeight="1" x14ac:dyDescent="0.2">
      <c r="A1023" s="9"/>
      <c r="B1023" s="9"/>
      <c r="C1023" s="9"/>
      <c r="D1023" s="9"/>
      <c r="E1023" s="9"/>
      <c r="F1023" s="9"/>
      <c r="G1023" s="9"/>
      <c r="H1023" s="9"/>
      <c r="I1023" s="9"/>
      <c r="J1023" s="9"/>
      <c r="K1023" s="9"/>
      <c r="L1023" s="9"/>
      <c r="M1023" s="9"/>
      <c r="N1023" s="9"/>
      <c r="O1023" s="9"/>
      <c r="P1023" s="9"/>
      <c r="Q1023" s="9"/>
      <c r="R1023" s="9"/>
      <c r="S1023" s="9"/>
      <c r="T1023" s="9"/>
      <c r="U1023" s="9"/>
      <c r="V1023" s="9"/>
      <c r="W1023" s="9"/>
      <c r="X1023" s="9"/>
      <c r="Y1023" s="9"/>
      <c r="Z1023" s="9"/>
    </row>
    <row r="1024" spans="1:26" ht="15.75" customHeight="1" x14ac:dyDescent="0.2">
      <c r="A1024" s="9"/>
      <c r="B1024" s="9"/>
      <c r="C1024" s="9"/>
      <c r="D1024" s="9"/>
      <c r="E1024" s="9"/>
      <c r="F1024" s="9"/>
      <c r="G1024" s="9"/>
      <c r="H1024" s="9"/>
      <c r="I1024" s="9"/>
      <c r="J1024" s="9"/>
      <c r="K1024" s="9"/>
      <c r="L1024" s="9"/>
      <c r="M1024" s="9"/>
      <c r="N1024" s="9"/>
      <c r="O1024" s="9"/>
      <c r="P1024" s="9"/>
      <c r="Q1024" s="9"/>
      <c r="R1024" s="9"/>
      <c r="S1024" s="9"/>
      <c r="T1024" s="9"/>
      <c r="U1024" s="9"/>
      <c r="V1024" s="9"/>
      <c r="W1024" s="9"/>
      <c r="X1024" s="9"/>
      <c r="Y1024" s="9"/>
      <c r="Z1024" s="9"/>
    </row>
    <row r="1025" spans="1:26" ht="15.75" customHeight="1" x14ac:dyDescent="0.2">
      <c r="A1025" s="9"/>
      <c r="B1025" s="9"/>
      <c r="C1025" s="9"/>
      <c r="D1025" s="9"/>
      <c r="E1025" s="9"/>
      <c r="F1025" s="9"/>
      <c r="G1025" s="9"/>
      <c r="H1025" s="9"/>
      <c r="I1025" s="9"/>
      <c r="J1025" s="9"/>
      <c r="K1025" s="9"/>
      <c r="L1025" s="9"/>
      <c r="M1025" s="9"/>
      <c r="N1025" s="9"/>
      <c r="O1025" s="9"/>
      <c r="P1025" s="9"/>
      <c r="Q1025" s="9"/>
      <c r="R1025" s="9"/>
      <c r="S1025" s="9"/>
      <c r="T1025" s="9"/>
      <c r="U1025" s="9"/>
      <c r="V1025" s="9"/>
      <c r="W1025" s="9"/>
      <c r="X1025" s="9"/>
      <c r="Y1025" s="9"/>
      <c r="Z1025" s="9"/>
    </row>
  </sheetData>
  <mergeCells count="14">
    <mergeCell ref="A16:N16"/>
    <mergeCell ref="A18:N18"/>
    <mergeCell ref="A1:N1"/>
    <mergeCell ref="A3:N3"/>
    <mergeCell ref="B5:M5"/>
    <mergeCell ref="A6:N6"/>
    <mergeCell ref="A8:N8"/>
    <mergeCell ref="A9:N9"/>
    <mergeCell ref="D10:L10"/>
    <mergeCell ref="B10:C10"/>
    <mergeCell ref="B11:C11"/>
    <mergeCell ref="D11:L11"/>
    <mergeCell ref="A14:N14"/>
    <mergeCell ref="A15:N15"/>
  </mergeCells>
  <dataValidations count="1">
    <dataValidation type="list" allowBlank="1" showErrorMessage="1" sqref="B5" xr:uid="{00000000-0002-0000-0000-000000000000}">
      <formula1>$LA$1:$LA$40</formula1>
    </dataValidation>
  </dataValidations>
  <pageMargins left="0.7" right="0.7" top="0.75" bottom="0.75" header="0" footer="0"/>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61FF-A7E6-904A-84AD-EF9F91F50D52}">
  <sheetPr>
    <tabColor rgb="FF7030A0"/>
  </sheetPr>
  <dimension ref="A1:T58"/>
  <sheetViews>
    <sheetView showGridLines="0" zoomScale="120" zoomScaleNormal="120" workbookViewId="0">
      <selection activeCell="F74" sqref="F74"/>
    </sheetView>
  </sheetViews>
  <sheetFormatPr baseColWidth="10" defaultRowHeight="15" x14ac:dyDescent="0.2"/>
  <cols>
    <col min="3" max="3" width="10.83203125" customWidth="1"/>
  </cols>
  <sheetData>
    <row r="1" spans="1:20" ht="32" customHeight="1" x14ac:dyDescent="0.2">
      <c r="A1" s="10" t="s">
        <v>370</v>
      </c>
      <c r="B1" s="10"/>
      <c r="C1" s="11" t="s">
        <v>426</v>
      </c>
      <c r="D1" s="10"/>
      <c r="E1" s="10"/>
      <c r="F1" s="10"/>
      <c r="G1" s="10"/>
      <c r="H1" s="10"/>
      <c r="I1" s="10"/>
      <c r="J1" s="10"/>
      <c r="K1" s="10"/>
      <c r="L1" s="10"/>
      <c r="M1" s="10"/>
      <c r="N1" s="10"/>
      <c r="O1" s="10"/>
      <c r="P1" s="10"/>
      <c r="Q1" s="10"/>
      <c r="R1" s="10"/>
      <c r="S1" s="10"/>
      <c r="T1" s="10"/>
    </row>
    <row r="3" spans="1:20" x14ac:dyDescent="0.2">
      <c r="A3" s="72"/>
      <c r="C3" s="73" t="s">
        <v>392</v>
      </c>
    </row>
    <row r="5" spans="1:20" x14ac:dyDescent="0.2">
      <c r="C5" s="73" t="s">
        <v>408</v>
      </c>
    </row>
    <row r="7" spans="1:20" x14ac:dyDescent="0.2">
      <c r="C7" s="74" t="s">
        <v>409</v>
      </c>
    </row>
    <row r="9" spans="1:20" x14ac:dyDescent="0.2">
      <c r="C9" s="73" t="s">
        <v>410</v>
      </c>
    </row>
    <row r="11" spans="1:20" x14ac:dyDescent="0.2">
      <c r="C11" s="73" t="s">
        <v>411</v>
      </c>
    </row>
    <row r="13" spans="1:20" x14ac:dyDescent="0.2">
      <c r="C13" s="73" t="s">
        <v>393</v>
      </c>
    </row>
    <row r="15" spans="1:20" x14ac:dyDescent="0.2">
      <c r="C15" s="75" t="s">
        <v>394</v>
      </c>
    </row>
    <row r="17" spans="3:3" x14ac:dyDescent="0.2">
      <c r="C17" s="75" t="s">
        <v>395</v>
      </c>
    </row>
    <row r="19" spans="3:3" x14ac:dyDescent="0.2">
      <c r="C19" s="73" t="s">
        <v>413</v>
      </c>
    </row>
    <row r="20" spans="3:3" x14ac:dyDescent="0.2">
      <c r="C20" s="73" t="s">
        <v>414</v>
      </c>
    </row>
    <row r="22" spans="3:3" x14ac:dyDescent="0.2">
      <c r="C22" s="75" t="s">
        <v>396</v>
      </c>
    </row>
    <row r="24" spans="3:3" x14ac:dyDescent="0.2">
      <c r="C24" s="73" t="s">
        <v>415</v>
      </c>
    </row>
    <row r="25" spans="3:3" x14ac:dyDescent="0.2">
      <c r="C25" s="75" t="s">
        <v>416</v>
      </c>
    </row>
    <row r="26" spans="3:3" x14ac:dyDescent="0.2">
      <c r="C26" s="73" t="s">
        <v>417</v>
      </c>
    </row>
    <row r="27" spans="3:3" x14ac:dyDescent="0.2">
      <c r="C27" s="73" t="s">
        <v>418</v>
      </c>
    </row>
    <row r="28" spans="3:3" x14ac:dyDescent="0.2">
      <c r="C28" s="73" t="s">
        <v>419</v>
      </c>
    </row>
    <row r="30" spans="3:3" x14ac:dyDescent="0.2">
      <c r="C30" s="73" t="s">
        <v>397</v>
      </c>
    </row>
    <row r="32" spans="3:3" x14ac:dyDescent="0.2">
      <c r="C32" s="75" t="s">
        <v>398</v>
      </c>
    </row>
    <row r="34" spans="3:3" x14ac:dyDescent="0.2">
      <c r="C34" s="75" t="s">
        <v>399</v>
      </c>
    </row>
    <row r="36" spans="3:3" x14ac:dyDescent="0.2">
      <c r="C36" s="73" t="s">
        <v>400</v>
      </c>
    </row>
    <row r="38" spans="3:3" x14ac:dyDescent="0.2">
      <c r="C38" s="75" t="s">
        <v>401</v>
      </c>
    </row>
    <row r="40" spans="3:3" x14ac:dyDescent="0.2">
      <c r="C40" s="73" t="s">
        <v>420</v>
      </c>
    </row>
    <row r="41" spans="3:3" x14ac:dyDescent="0.2">
      <c r="C41" s="73" t="s">
        <v>421</v>
      </c>
    </row>
    <row r="42" spans="3:3" x14ac:dyDescent="0.2">
      <c r="C42" s="73" t="s">
        <v>422</v>
      </c>
    </row>
    <row r="43" spans="3:3" x14ac:dyDescent="0.2">
      <c r="C43" s="73" t="s">
        <v>423</v>
      </c>
    </row>
    <row r="45" spans="3:3" x14ac:dyDescent="0.2">
      <c r="C45" s="75" t="s">
        <v>402</v>
      </c>
    </row>
    <row r="47" spans="3:3" x14ac:dyDescent="0.2">
      <c r="C47" s="73" t="s">
        <v>403</v>
      </c>
    </row>
    <row r="49" spans="3:3" x14ac:dyDescent="0.2">
      <c r="C49" s="73" t="s">
        <v>404</v>
      </c>
    </row>
    <row r="51" spans="3:3" x14ac:dyDescent="0.2">
      <c r="C51" s="75" t="s">
        <v>405</v>
      </c>
    </row>
    <row r="53" spans="3:3" x14ac:dyDescent="0.2">
      <c r="C53" s="73" t="s">
        <v>406</v>
      </c>
    </row>
    <row r="55" spans="3:3" x14ac:dyDescent="0.2">
      <c r="C55" s="75" t="s">
        <v>407</v>
      </c>
    </row>
    <row r="57" spans="3:3" x14ac:dyDescent="0.2">
      <c r="C57" s="73" t="s">
        <v>424</v>
      </c>
    </row>
    <row r="58" spans="3:3" x14ac:dyDescent="0.2">
      <c r="C58" s="73" t="s">
        <v>425</v>
      </c>
    </row>
  </sheetData>
  <hyperlinks>
    <hyperlink ref="C7" r:id="rId1" display="https://designsystem.gov.scot/guidance/charts/data-visualisation-colour-palettes" xr:uid="{5AA9E8AE-3067-7E43-BCB5-7AA9BD73E8B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sheetPr>
  <dimension ref="A1:AL1004"/>
  <sheetViews>
    <sheetView showGridLines="0" zoomScale="120" zoomScaleNormal="120" workbookViewId="0">
      <selection activeCell="C6" sqref="C6:J38"/>
    </sheetView>
  </sheetViews>
  <sheetFormatPr baseColWidth="10" defaultColWidth="14.5" defaultRowHeight="15" customHeight="1" x14ac:dyDescent="0.2"/>
  <cols>
    <col min="1" max="1" width="51.6640625" customWidth="1"/>
    <col min="2" max="2" width="1.33203125" customWidth="1"/>
    <col min="3" max="14" width="9.1640625" customWidth="1"/>
    <col min="15" max="15" width="8.5" customWidth="1"/>
    <col min="16" max="34" width="9.1640625" customWidth="1"/>
    <col min="35" max="36" width="10.33203125" customWidth="1"/>
    <col min="37" max="37" width="10.1640625" customWidth="1"/>
    <col min="38" max="38" width="10" customWidth="1"/>
  </cols>
  <sheetData>
    <row r="1" spans="1:38" ht="31.5" customHeight="1" x14ac:dyDescent="0.2">
      <c r="A1" s="10" t="s">
        <v>59</v>
      </c>
      <c r="B1" s="10"/>
      <c r="C1" s="11" t="s">
        <v>60</v>
      </c>
      <c r="D1" s="10"/>
      <c r="E1" s="10"/>
      <c r="F1" s="10"/>
      <c r="G1" s="10"/>
      <c r="H1" s="10"/>
      <c r="I1" s="10"/>
      <c r="J1" s="10"/>
      <c r="K1" s="10"/>
      <c r="L1" s="10"/>
      <c r="M1" s="10"/>
      <c r="N1" s="10"/>
      <c r="O1" s="10"/>
      <c r="P1" s="10"/>
      <c r="Q1" s="10"/>
      <c r="R1" s="10"/>
      <c r="S1" s="10"/>
      <c r="T1" s="10"/>
      <c r="U1" s="3"/>
      <c r="V1" s="3"/>
      <c r="W1" s="3"/>
      <c r="X1" s="3"/>
      <c r="Y1" s="3"/>
      <c r="Z1" s="3"/>
      <c r="AA1" s="3"/>
      <c r="AB1" s="3"/>
      <c r="AC1" s="3"/>
      <c r="AD1" s="3"/>
      <c r="AE1" s="3"/>
      <c r="AF1" s="3"/>
      <c r="AG1" s="3"/>
      <c r="AH1" s="3"/>
      <c r="AI1" s="3"/>
      <c r="AJ1" s="3"/>
      <c r="AK1" s="3"/>
      <c r="AL1" s="3"/>
    </row>
    <row r="2" spans="1:38" ht="31.5" customHeight="1" x14ac:dyDescent="0.25">
      <c r="A2" s="12"/>
      <c r="B2" s="3"/>
      <c r="C2" s="13"/>
      <c r="D2" s="14"/>
      <c r="E2" s="14"/>
      <c r="F2" s="14"/>
      <c r="G2" s="14"/>
      <c r="H2" s="14"/>
      <c r="I2" s="14"/>
      <c r="J2" s="14"/>
      <c r="K2" s="14"/>
      <c r="L2" s="14"/>
      <c r="M2" s="14"/>
      <c r="N2" s="14"/>
      <c r="O2" s="3"/>
      <c r="P2" s="3"/>
      <c r="Q2" s="3"/>
      <c r="R2" s="3"/>
      <c r="S2" s="3"/>
      <c r="T2" s="3"/>
      <c r="U2" s="3"/>
      <c r="V2" s="3"/>
      <c r="W2" s="3"/>
      <c r="X2" s="3"/>
      <c r="Y2" s="3"/>
      <c r="Z2" s="3"/>
      <c r="AA2" s="3"/>
      <c r="AB2" s="3"/>
      <c r="AC2" s="3"/>
      <c r="AD2" s="3"/>
      <c r="AE2" s="3"/>
      <c r="AF2" s="3"/>
      <c r="AG2" s="3"/>
      <c r="AH2" s="3"/>
      <c r="AI2" s="3"/>
      <c r="AJ2" s="3"/>
      <c r="AK2" s="3"/>
      <c r="AL2" s="3"/>
    </row>
    <row r="3" spans="1:38" ht="19" x14ac:dyDescent="0.25">
      <c r="A3" s="15" t="s">
        <v>61</v>
      </c>
      <c r="B3" s="3"/>
      <c r="C3" s="13"/>
      <c r="D3" s="14"/>
      <c r="E3" s="14"/>
      <c r="F3" s="14"/>
      <c r="G3" s="14"/>
      <c r="H3" s="14"/>
      <c r="I3" s="14"/>
      <c r="J3" s="14"/>
      <c r="K3" s="14"/>
      <c r="L3" s="14"/>
      <c r="M3" s="14"/>
      <c r="N3" s="14"/>
      <c r="O3" s="3"/>
      <c r="P3" s="3"/>
      <c r="Q3" s="3"/>
      <c r="R3" s="3"/>
      <c r="S3" s="3"/>
      <c r="T3" s="3"/>
      <c r="U3" s="3"/>
      <c r="V3" s="3"/>
      <c r="W3" s="3"/>
      <c r="X3" s="3"/>
      <c r="Y3" s="3"/>
      <c r="Z3" s="3"/>
      <c r="AA3" s="3"/>
      <c r="AB3" s="3"/>
      <c r="AC3" s="3"/>
      <c r="AD3" s="3"/>
      <c r="AE3" s="3"/>
      <c r="AF3" s="3"/>
      <c r="AG3" s="3"/>
      <c r="AH3" s="3"/>
      <c r="AI3" s="3"/>
      <c r="AJ3" s="3"/>
      <c r="AK3" s="3"/>
      <c r="AL3" s="3"/>
    </row>
    <row r="4" spans="1:38" ht="16" x14ac:dyDescent="0.2">
      <c r="A4" s="16" t="str">
        <f>A1</f>
        <v>Indicator 1</v>
      </c>
      <c r="B4" s="3"/>
      <c r="C4" s="17" t="s">
        <v>62</v>
      </c>
      <c r="D4" s="17" t="s">
        <v>63</v>
      </c>
      <c r="E4" s="17" t="s">
        <v>64</v>
      </c>
      <c r="F4" s="17" t="s">
        <v>65</v>
      </c>
      <c r="G4" s="17" t="s">
        <v>62</v>
      </c>
      <c r="H4" s="17" t="s">
        <v>63</v>
      </c>
      <c r="I4" s="17" t="s">
        <v>64</v>
      </c>
      <c r="J4" s="17" t="s">
        <v>65</v>
      </c>
      <c r="K4" s="17" t="s">
        <v>62</v>
      </c>
      <c r="L4" s="17" t="s">
        <v>63</v>
      </c>
      <c r="M4" s="17" t="s">
        <v>64</v>
      </c>
      <c r="N4" s="17" t="s">
        <v>65</v>
      </c>
      <c r="O4" s="17" t="s">
        <v>62</v>
      </c>
      <c r="P4" s="17" t="s">
        <v>63</v>
      </c>
      <c r="Q4" s="17" t="s">
        <v>64</v>
      </c>
      <c r="R4" s="17" t="s">
        <v>65</v>
      </c>
      <c r="S4" s="17" t="s">
        <v>62</v>
      </c>
      <c r="T4" s="17" t="s">
        <v>63</v>
      </c>
      <c r="U4" s="17" t="s">
        <v>64</v>
      </c>
      <c r="V4" s="17" t="s">
        <v>65</v>
      </c>
      <c r="W4" s="17" t="s">
        <v>62</v>
      </c>
      <c r="X4" s="17" t="s">
        <v>63</v>
      </c>
      <c r="Y4" s="17" t="s">
        <v>64</v>
      </c>
      <c r="Z4" s="17" t="s">
        <v>65</v>
      </c>
      <c r="AA4" s="17" t="s">
        <v>62</v>
      </c>
      <c r="AB4" s="17" t="s">
        <v>63</v>
      </c>
      <c r="AC4" s="17" t="s">
        <v>64</v>
      </c>
      <c r="AD4" s="17" t="s">
        <v>65</v>
      </c>
      <c r="AE4" s="17" t="s">
        <v>62</v>
      </c>
      <c r="AF4" s="17" t="s">
        <v>63</v>
      </c>
      <c r="AG4" s="17" t="s">
        <v>64</v>
      </c>
      <c r="AH4" s="17" t="s">
        <v>65</v>
      </c>
      <c r="AI4" s="17" t="s">
        <v>62</v>
      </c>
      <c r="AJ4" s="17" t="s">
        <v>63</v>
      </c>
      <c r="AK4" s="17" t="s">
        <v>64</v>
      </c>
      <c r="AL4" s="17" t="s">
        <v>65</v>
      </c>
    </row>
    <row r="5" spans="1:38" ht="26" x14ac:dyDescent="0.2">
      <c r="A5" s="16"/>
      <c r="B5" s="3"/>
      <c r="C5" s="17" t="s">
        <v>385</v>
      </c>
      <c r="D5" s="17" t="s">
        <v>386</v>
      </c>
      <c r="E5" s="17" t="s">
        <v>387</v>
      </c>
      <c r="F5" s="17" t="s">
        <v>388</v>
      </c>
      <c r="G5" s="17" t="s">
        <v>66</v>
      </c>
      <c r="H5" s="17" t="s">
        <v>67</v>
      </c>
      <c r="I5" s="17" t="s">
        <v>68</v>
      </c>
      <c r="J5" s="17" t="s">
        <v>69</v>
      </c>
      <c r="K5" s="17" t="s">
        <v>70</v>
      </c>
      <c r="L5" s="17" t="s">
        <v>71</v>
      </c>
      <c r="M5" s="17" t="s">
        <v>72</v>
      </c>
      <c r="N5" s="17" t="s">
        <v>73</v>
      </c>
      <c r="O5" s="17" t="s">
        <v>74</v>
      </c>
      <c r="P5" s="17" t="s">
        <v>75</v>
      </c>
      <c r="Q5" s="17" t="s">
        <v>76</v>
      </c>
      <c r="R5" s="17" t="s">
        <v>77</v>
      </c>
      <c r="S5" s="58" t="s">
        <v>321</v>
      </c>
      <c r="T5" s="17" t="s">
        <v>322</v>
      </c>
      <c r="U5" s="17" t="s">
        <v>323</v>
      </c>
      <c r="V5" s="17" t="s">
        <v>324</v>
      </c>
      <c r="W5" s="58" t="s">
        <v>325</v>
      </c>
      <c r="X5" s="17" t="s">
        <v>326</v>
      </c>
      <c r="Y5" s="17" t="s">
        <v>327</v>
      </c>
      <c r="Z5" s="17" t="s">
        <v>328</v>
      </c>
      <c r="AA5" s="17" t="s">
        <v>329</v>
      </c>
      <c r="AB5" s="17" t="s">
        <v>330</v>
      </c>
      <c r="AC5" s="17" t="s">
        <v>331</v>
      </c>
      <c r="AD5" s="17" t="s">
        <v>332</v>
      </c>
      <c r="AE5" s="17" t="s">
        <v>333</v>
      </c>
      <c r="AF5" s="17" t="s">
        <v>334</v>
      </c>
      <c r="AG5" s="17" t="s">
        <v>335</v>
      </c>
      <c r="AH5" s="17" t="s">
        <v>336</v>
      </c>
      <c r="AI5" s="17" t="s">
        <v>337</v>
      </c>
      <c r="AJ5" s="17" t="s">
        <v>338</v>
      </c>
      <c r="AK5" s="17" t="s">
        <v>339</v>
      </c>
      <c r="AL5" s="17" t="s">
        <v>340</v>
      </c>
    </row>
    <row r="6" spans="1:38" ht="16" x14ac:dyDescent="0.2">
      <c r="A6" s="18" t="s">
        <v>78</v>
      </c>
      <c r="B6" s="3"/>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row>
    <row r="7" spans="1:38" ht="16" x14ac:dyDescent="0.2">
      <c r="A7" s="18" t="s">
        <v>79</v>
      </c>
      <c r="B7" s="3"/>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row>
    <row r="8" spans="1:38" ht="16" x14ac:dyDescent="0.2">
      <c r="A8" s="18" t="s">
        <v>80</v>
      </c>
      <c r="B8" s="3"/>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row>
    <row r="9" spans="1:38" ht="16" x14ac:dyDescent="0.2">
      <c r="A9" s="18" t="s">
        <v>81</v>
      </c>
      <c r="B9" s="3"/>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row>
    <row r="10" spans="1:38" ht="16" x14ac:dyDescent="0.2">
      <c r="A10" s="18" t="s">
        <v>82</v>
      </c>
      <c r="B10" s="3"/>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row>
    <row r="11" spans="1:38" ht="16" x14ac:dyDescent="0.2">
      <c r="A11" s="18" t="s">
        <v>83</v>
      </c>
      <c r="B11" s="3"/>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row>
    <row r="12" spans="1:38" ht="16" x14ac:dyDescent="0.2">
      <c r="A12" s="18" t="s">
        <v>84</v>
      </c>
      <c r="B12" s="3"/>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row>
    <row r="13" spans="1:38" ht="16" x14ac:dyDescent="0.2">
      <c r="A13" s="18" t="s">
        <v>85</v>
      </c>
      <c r="B13" s="3"/>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row>
    <row r="14" spans="1:38" ht="16" x14ac:dyDescent="0.2">
      <c r="A14" s="18" t="s">
        <v>86</v>
      </c>
      <c r="B14" s="3"/>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row>
    <row r="15" spans="1:38" ht="16" x14ac:dyDescent="0.2">
      <c r="A15" s="18" t="s">
        <v>87</v>
      </c>
      <c r="B15" s="3"/>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row>
    <row r="16" spans="1:38" ht="16" x14ac:dyDescent="0.2">
      <c r="A16" s="18" t="s">
        <v>88</v>
      </c>
      <c r="B16" s="3"/>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row>
    <row r="17" spans="1:38" ht="32" x14ac:dyDescent="0.2">
      <c r="A17" s="18" t="s">
        <v>89</v>
      </c>
      <c r="B17" s="3"/>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row>
    <row r="18" spans="1:38" ht="16" x14ac:dyDescent="0.2">
      <c r="A18" s="18" t="s">
        <v>90</v>
      </c>
      <c r="B18" s="3"/>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row>
    <row r="19" spans="1:38" ht="16" x14ac:dyDescent="0.2">
      <c r="A19" s="18" t="s">
        <v>91</v>
      </c>
      <c r="B19" s="3"/>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row>
    <row r="20" spans="1:38" ht="16" x14ac:dyDescent="0.2">
      <c r="A20" s="18" t="s">
        <v>92</v>
      </c>
      <c r="B20" s="3"/>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row>
    <row r="21" spans="1:38" ht="16" x14ac:dyDescent="0.2">
      <c r="A21" s="18" t="s">
        <v>93</v>
      </c>
      <c r="B21" s="3"/>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row>
    <row r="22" spans="1:38" ht="16" x14ac:dyDescent="0.2">
      <c r="A22" s="18" t="s">
        <v>94</v>
      </c>
      <c r="B22" s="3"/>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row>
    <row r="23" spans="1:38" ht="16" x14ac:dyDescent="0.2">
      <c r="A23" s="18" t="s">
        <v>95</v>
      </c>
      <c r="B23" s="3"/>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row>
    <row r="24" spans="1:38" ht="16" x14ac:dyDescent="0.2">
      <c r="A24" s="18" t="s">
        <v>96</v>
      </c>
      <c r="B24" s="3"/>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row>
    <row r="25" spans="1:38" ht="16" x14ac:dyDescent="0.2">
      <c r="A25" s="18" t="s">
        <v>97</v>
      </c>
      <c r="B25" s="3"/>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row>
    <row r="26" spans="1:38" ht="16" x14ac:dyDescent="0.2">
      <c r="A26" s="18" t="s">
        <v>98</v>
      </c>
      <c r="B26" s="3"/>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row>
    <row r="27" spans="1:38" ht="16" x14ac:dyDescent="0.2">
      <c r="A27" s="18" t="s">
        <v>99</v>
      </c>
      <c r="B27" s="3"/>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row>
    <row r="28" spans="1:38" ht="16" x14ac:dyDescent="0.2">
      <c r="A28" s="18" t="s">
        <v>100</v>
      </c>
      <c r="B28" s="3"/>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row>
    <row r="29" spans="1:38" ht="16" x14ac:dyDescent="0.2">
      <c r="A29" s="18" t="s">
        <v>101</v>
      </c>
      <c r="B29" s="3"/>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row>
    <row r="30" spans="1:38" ht="16" x14ac:dyDescent="0.2">
      <c r="A30" s="18" t="s">
        <v>102</v>
      </c>
      <c r="B30" s="3"/>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row>
    <row r="31" spans="1:38" ht="16" x14ac:dyDescent="0.2">
      <c r="A31" s="18" t="s">
        <v>103</v>
      </c>
      <c r="B31" s="3"/>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row>
    <row r="32" spans="1:38" ht="16" x14ac:dyDescent="0.2">
      <c r="A32" s="18" t="s">
        <v>104</v>
      </c>
      <c r="B32" s="3"/>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row>
    <row r="33" spans="1:38" ht="16" x14ac:dyDescent="0.2">
      <c r="A33" s="18" t="s">
        <v>105</v>
      </c>
      <c r="B33" s="3"/>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row>
    <row r="34" spans="1:38" ht="16" x14ac:dyDescent="0.2">
      <c r="A34" s="18" t="s">
        <v>106</v>
      </c>
      <c r="B34" s="3"/>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row>
    <row r="35" spans="1:38" ht="16" x14ac:dyDescent="0.2">
      <c r="A35" s="18" t="s">
        <v>107</v>
      </c>
      <c r="B35" s="3"/>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row>
    <row r="36" spans="1:38" ht="16" x14ac:dyDescent="0.2">
      <c r="A36" s="18" t="s">
        <v>108</v>
      </c>
      <c r="B36" s="3"/>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row>
    <row r="37" spans="1:38" ht="16" x14ac:dyDescent="0.2">
      <c r="A37" s="18" t="s">
        <v>109</v>
      </c>
      <c r="B37" s="3"/>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row>
    <row r="38" spans="1:38" ht="16" x14ac:dyDescent="0.2">
      <c r="A38" s="18" t="s">
        <v>110</v>
      </c>
      <c r="B38" s="3"/>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row>
    <row r="39" spans="1:38" ht="17" thickBot="1" x14ac:dyDescent="0.25">
      <c r="A39" s="22" t="s">
        <v>111</v>
      </c>
      <c r="B39" s="3"/>
      <c r="C39" s="23">
        <f t="shared" ref="C39:F39" si="0">SUM(C6:C38)</f>
        <v>0</v>
      </c>
      <c r="D39" s="23">
        <f t="shared" si="0"/>
        <v>0</v>
      </c>
      <c r="E39" s="23">
        <f t="shared" si="0"/>
        <v>0</v>
      </c>
      <c r="F39" s="23">
        <f t="shared" si="0"/>
        <v>0</v>
      </c>
      <c r="G39" s="23">
        <f t="shared" ref="G39:R39" si="1">SUM(G6:G38)</f>
        <v>0</v>
      </c>
      <c r="H39" s="23">
        <f t="shared" si="1"/>
        <v>0</v>
      </c>
      <c r="I39" s="23">
        <f t="shared" si="1"/>
        <v>0</v>
      </c>
      <c r="J39" s="23">
        <f t="shared" si="1"/>
        <v>0</v>
      </c>
      <c r="K39" s="23">
        <f t="shared" si="1"/>
        <v>0</v>
      </c>
      <c r="L39" s="23">
        <f t="shared" si="1"/>
        <v>0</v>
      </c>
      <c r="M39" s="23">
        <f t="shared" si="1"/>
        <v>0</v>
      </c>
      <c r="N39" s="23">
        <f t="shared" si="1"/>
        <v>0</v>
      </c>
      <c r="O39" s="23">
        <f t="shared" si="1"/>
        <v>0</v>
      </c>
      <c r="P39" s="23">
        <f t="shared" si="1"/>
        <v>0</v>
      </c>
      <c r="Q39" s="23">
        <f t="shared" si="1"/>
        <v>0</v>
      </c>
      <c r="R39" s="23">
        <f t="shared" si="1"/>
        <v>0</v>
      </c>
      <c r="S39" s="23">
        <f t="shared" ref="S39:AH39" si="2">SUM(S6:S38)</f>
        <v>0</v>
      </c>
      <c r="T39" s="23">
        <f t="shared" si="2"/>
        <v>0</v>
      </c>
      <c r="U39" s="23">
        <f t="shared" si="2"/>
        <v>0</v>
      </c>
      <c r="V39" s="23">
        <f t="shared" si="2"/>
        <v>0</v>
      </c>
      <c r="W39" s="23">
        <f t="shared" si="2"/>
        <v>0</v>
      </c>
      <c r="X39" s="23">
        <f t="shared" si="2"/>
        <v>0</v>
      </c>
      <c r="Y39" s="23">
        <f t="shared" si="2"/>
        <v>0</v>
      </c>
      <c r="Z39" s="23">
        <f t="shared" si="2"/>
        <v>0</v>
      </c>
      <c r="AA39" s="23">
        <f t="shared" si="2"/>
        <v>0</v>
      </c>
      <c r="AB39" s="23">
        <f t="shared" si="2"/>
        <v>0</v>
      </c>
      <c r="AC39" s="23">
        <f t="shared" si="2"/>
        <v>0</v>
      </c>
      <c r="AD39" s="23">
        <f t="shared" si="2"/>
        <v>0</v>
      </c>
      <c r="AE39" s="23">
        <f t="shared" si="2"/>
        <v>0</v>
      </c>
      <c r="AF39" s="23">
        <f t="shared" si="2"/>
        <v>0</v>
      </c>
      <c r="AG39" s="23">
        <f t="shared" si="2"/>
        <v>0</v>
      </c>
      <c r="AH39" s="23">
        <f t="shared" si="2"/>
        <v>0</v>
      </c>
      <c r="AI39" s="23">
        <f t="shared" ref="AI39:AL39" si="3">SUM(AI6:AI38)</f>
        <v>0</v>
      </c>
      <c r="AJ39" s="23">
        <f t="shared" si="3"/>
        <v>0</v>
      </c>
      <c r="AK39" s="23">
        <f t="shared" si="3"/>
        <v>0</v>
      </c>
      <c r="AL39" s="23">
        <f t="shared" si="3"/>
        <v>0</v>
      </c>
    </row>
    <row r="40" spans="1:38" ht="17.25" customHeight="1" thickTop="1" x14ac:dyDescent="0.2">
      <c r="A40" s="24"/>
      <c r="B40" s="3"/>
      <c r="C40" s="25"/>
      <c r="D40" s="25"/>
      <c r="E40" s="25"/>
      <c r="F40" s="25"/>
      <c r="G40" s="25"/>
      <c r="H40" s="25"/>
      <c r="I40" s="25"/>
      <c r="J40" s="25"/>
      <c r="K40" s="25"/>
      <c r="L40" s="25"/>
      <c r="M40" s="25"/>
      <c r="N40" s="25"/>
      <c r="O40" s="3"/>
      <c r="P40" s="3"/>
      <c r="Q40" s="3"/>
      <c r="R40" s="3"/>
      <c r="S40" s="3"/>
      <c r="T40" s="3"/>
      <c r="U40" s="3"/>
      <c r="V40" s="3"/>
      <c r="W40" s="3"/>
      <c r="X40" s="3"/>
      <c r="Y40" s="3"/>
      <c r="Z40" s="3"/>
      <c r="AA40" s="3"/>
      <c r="AB40" s="3"/>
      <c r="AC40" s="3"/>
      <c r="AD40" s="3"/>
      <c r="AE40" s="3"/>
      <c r="AF40" s="3"/>
      <c r="AG40" s="3"/>
      <c r="AH40" s="3"/>
      <c r="AI40" s="3"/>
      <c r="AJ40" s="3"/>
      <c r="AK40" s="3"/>
      <c r="AL40" s="3"/>
    </row>
    <row r="41" spans="1:38" ht="17.25" customHeight="1" x14ac:dyDescent="0.2">
      <c r="A41" s="15" t="s">
        <v>112</v>
      </c>
      <c r="B41" s="3"/>
      <c r="C41" s="26" t="s">
        <v>113</v>
      </c>
      <c r="D41" s="26"/>
      <c r="E41" s="26"/>
      <c r="F41" s="26"/>
      <c r="G41" s="26"/>
      <c r="H41" s="26"/>
      <c r="I41" s="26"/>
      <c r="J41" s="26"/>
      <c r="K41" s="26"/>
      <c r="L41" s="26"/>
      <c r="M41" s="26"/>
      <c r="N41" s="26"/>
      <c r="O41" s="26"/>
      <c r="P41" s="26"/>
      <c r="Q41" s="26"/>
      <c r="R41" s="26"/>
      <c r="S41" s="3"/>
      <c r="T41" s="3"/>
      <c r="U41" s="3"/>
      <c r="V41" s="3"/>
      <c r="W41" s="3"/>
      <c r="X41" s="3"/>
      <c r="Y41" s="3"/>
      <c r="Z41" s="3"/>
      <c r="AA41" s="3"/>
      <c r="AB41" s="3"/>
      <c r="AC41" s="3"/>
      <c r="AD41" s="3"/>
      <c r="AE41" s="3"/>
      <c r="AF41" s="3"/>
      <c r="AG41" s="3"/>
      <c r="AH41" s="3"/>
      <c r="AI41" s="3"/>
      <c r="AJ41" s="3"/>
      <c r="AK41" s="3"/>
      <c r="AL41" s="3"/>
    </row>
    <row r="42" spans="1:38" ht="16" x14ac:dyDescent="0.2">
      <c r="A42" s="16" t="str">
        <f>(A1)</f>
        <v>Indicator 1</v>
      </c>
      <c r="B42" s="3"/>
      <c r="C42" s="17" t="s">
        <v>62</v>
      </c>
      <c r="D42" s="17" t="s">
        <v>63</v>
      </c>
      <c r="E42" s="17" t="s">
        <v>64</v>
      </c>
      <c r="F42" s="17" t="s">
        <v>65</v>
      </c>
      <c r="G42" s="17" t="s">
        <v>62</v>
      </c>
      <c r="H42" s="17" t="s">
        <v>63</v>
      </c>
      <c r="I42" s="17" t="s">
        <v>64</v>
      </c>
      <c r="J42" s="17" t="s">
        <v>65</v>
      </c>
      <c r="K42" s="17" t="s">
        <v>62</v>
      </c>
      <c r="L42" s="17" t="s">
        <v>63</v>
      </c>
      <c r="M42" s="17" t="s">
        <v>64</v>
      </c>
      <c r="N42" s="17" t="s">
        <v>65</v>
      </c>
      <c r="O42" s="17" t="s">
        <v>62</v>
      </c>
      <c r="P42" s="17" t="s">
        <v>63</v>
      </c>
      <c r="Q42" s="17" t="s">
        <v>64</v>
      </c>
      <c r="R42" s="17" t="s">
        <v>65</v>
      </c>
      <c r="S42" s="17" t="s">
        <v>62</v>
      </c>
      <c r="T42" s="17" t="s">
        <v>63</v>
      </c>
      <c r="U42" s="17" t="s">
        <v>64</v>
      </c>
      <c r="V42" s="17" t="s">
        <v>65</v>
      </c>
      <c r="W42" s="17" t="s">
        <v>62</v>
      </c>
      <c r="X42" s="17" t="s">
        <v>63</v>
      </c>
      <c r="Y42" s="17" t="s">
        <v>64</v>
      </c>
      <c r="Z42" s="17" t="s">
        <v>65</v>
      </c>
      <c r="AA42" s="17" t="s">
        <v>62</v>
      </c>
      <c r="AB42" s="17" t="s">
        <v>63</v>
      </c>
      <c r="AC42" s="17" t="s">
        <v>64</v>
      </c>
      <c r="AD42" s="17" t="s">
        <v>65</v>
      </c>
      <c r="AE42" s="17" t="s">
        <v>62</v>
      </c>
      <c r="AF42" s="17" t="s">
        <v>63</v>
      </c>
      <c r="AG42" s="17" t="s">
        <v>64</v>
      </c>
      <c r="AH42" s="17" t="s">
        <v>65</v>
      </c>
      <c r="AI42" s="17" t="s">
        <v>62</v>
      </c>
      <c r="AJ42" s="17" t="s">
        <v>63</v>
      </c>
      <c r="AK42" s="17" t="s">
        <v>64</v>
      </c>
      <c r="AL42" s="17" t="s">
        <v>65</v>
      </c>
    </row>
    <row r="43" spans="1:38" ht="26" x14ac:dyDescent="0.2">
      <c r="A43" s="27" t="s">
        <v>114</v>
      </c>
      <c r="B43" s="3"/>
      <c r="C43" s="17" t="s">
        <v>385</v>
      </c>
      <c r="D43" s="17" t="s">
        <v>386</v>
      </c>
      <c r="E43" s="17" t="s">
        <v>387</v>
      </c>
      <c r="F43" s="17" t="s">
        <v>388</v>
      </c>
      <c r="G43" s="17" t="s">
        <v>66</v>
      </c>
      <c r="H43" s="17" t="s">
        <v>67</v>
      </c>
      <c r="I43" s="17" t="s">
        <v>68</v>
      </c>
      <c r="J43" s="17" t="s">
        <v>69</v>
      </c>
      <c r="K43" s="17" t="s">
        <v>70</v>
      </c>
      <c r="L43" s="17" t="s">
        <v>71</v>
      </c>
      <c r="M43" s="17" t="s">
        <v>72</v>
      </c>
      <c r="N43" s="17" t="s">
        <v>73</v>
      </c>
      <c r="O43" s="17" t="s">
        <v>74</v>
      </c>
      <c r="P43" s="17" t="s">
        <v>75</v>
      </c>
      <c r="Q43" s="17" t="s">
        <v>76</v>
      </c>
      <c r="R43" s="17" t="s">
        <v>77</v>
      </c>
      <c r="S43" s="58" t="s">
        <v>321</v>
      </c>
      <c r="T43" s="17" t="s">
        <v>322</v>
      </c>
      <c r="U43" s="17" t="s">
        <v>323</v>
      </c>
      <c r="V43" s="17" t="s">
        <v>324</v>
      </c>
      <c r="W43" s="58" t="s">
        <v>325</v>
      </c>
      <c r="X43" s="17" t="s">
        <v>326</v>
      </c>
      <c r="Y43" s="17" t="s">
        <v>327</v>
      </c>
      <c r="Z43" s="17" t="s">
        <v>328</v>
      </c>
      <c r="AA43" s="17" t="s">
        <v>329</v>
      </c>
      <c r="AB43" s="17" t="s">
        <v>330</v>
      </c>
      <c r="AC43" s="17" t="s">
        <v>331</v>
      </c>
      <c r="AD43" s="17" t="s">
        <v>332</v>
      </c>
      <c r="AE43" s="17" t="s">
        <v>333</v>
      </c>
      <c r="AF43" s="17" t="s">
        <v>334</v>
      </c>
      <c r="AG43" s="17" t="s">
        <v>335</v>
      </c>
      <c r="AH43" s="17" t="s">
        <v>336</v>
      </c>
      <c r="AI43" s="17" t="s">
        <v>337</v>
      </c>
      <c r="AJ43" s="17" t="s">
        <v>338</v>
      </c>
      <c r="AK43" s="17" t="s">
        <v>339</v>
      </c>
      <c r="AL43" s="17" t="s">
        <v>340</v>
      </c>
    </row>
    <row r="44" spans="1:38" x14ac:dyDescent="0.2">
      <c r="A44" s="19"/>
      <c r="B44" s="3"/>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row>
    <row r="45" spans="1:38" x14ac:dyDescent="0.2">
      <c r="A45" s="19"/>
      <c r="B45" s="3"/>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row>
    <row r="46" spans="1:38" x14ac:dyDescent="0.2">
      <c r="A46" s="19"/>
      <c r="B46" s="3"/>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row>
    <row r="47" spans="1:38" x14ac:dyDescent="0.2">
      <c r="A47" s="19"/>
      <c r="B47" s="3"/>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row>
    <row r="48" spans="1:38" x14ac:dyDescent="0.2">
      <c r="A48" s="19"/>
      <c r="B48" s="3"/>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row>
    <row r="49" spans="1:38" ht="15.75" customHeight="1" x14ac:dyDescent="0.2">
      <c r="A49" s="24"/>
      <c r="B49" s="3"/>
      <c r="C49" s="25"/>
      <c r="D49" s="25"/>
      <c r="E49" s="25"/>
      <c r="F49" s="25"/>
      <c r="G49" s="25"/>
      <c r="H49" s="25"/>
      <c r="I49" s="25"/>
      <c r="J49" s="25"/>
      <c r="K49" s="25"/>
      <c r="L49" s="25"/>
      <c r="M49" s="25"/>
      <c r="N49" s="25"/>
      <c r="O49" s="3"/>
      <c r="P49" s="3"/>
      <c r="Q49" s="3"/>
      <c r="R49" s="3"/>
      <c r="S49" s="3"/>
      <c r="T49" s="3"/>
      <c r="U49" s="3"/>
      <c r="V49" s="3"/>
      <c r="W49" s="3"/>
      <c r="X49" s="3"/>
      <c r="Y49" s="3"/>
      <c r="Z49" s="3"/>
      <c r="AA49" s="3"/>
      <c r="AB49" s="3"/>
      <c r="AC49" s="3"/>
      <c r="AD49" s="3"/>
      <c r="AE49" s="3"/>
      <c r="AF49" s="3"/>
      <c r="AG49" s="3"/>
      <c r="AH49" s="3"/>
      <c r="AI49" s="3"/>
      <c r="AJ49" s="3"/>
      <c r="AK49" s="3"/>
      <c r="AL49" s="3"/>
    </row>
    <row r="50" spans="1:38" ht="15.75" customHeight="1" x14ac:dyDescent="0.2">
      <c r="A50" s="15" t="s">
        <v>115</v>
      </c>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row>
    <row r="51" spans="1:38" ht="111.75" customHeight="1" x14ac:dyDescent="0.2">
      <c r="A51" s="4" t="s">
        <v>116</v>
      </c>
      <c r="B51" s="3"/>
      <c r="C51" s="85"/>
      <c r="D51" s="86"/>
      <c r="E51" s="86"/>
      <c r="F51" s="86"/>
      <c r="G51" s="86"/>
      <c r="H51" s="86"/>
      <c r="I51" s="86"/>
      <c r="J51" s="86"/>
      <c r="K51" s="86"/>
      <c r="L51" s="86"/>
      <c r="M51" s="86"/>
      <c r="N51" s="86"/>
      <c r="O51" s="86"/>
      <c r="P51" s="86"/>
      <c r="Q51" s="86"/>
      <c r="R51" s="86"/>
      <c r="S51" s="86"/>
      <c r="T51" s="87"/>
      <c r="U51" s="3"/>
      <c r="V51" s="3"/>
      <c r="W51" s="3"/>
      <c r="X51" s="3"/>
      <c r="Y51" s="3"/>
      <c r="Z51" s="3"/>
      <c r="AA51" s="3"/>
      <c r="AB51" s="3"/>
      <c r="AC51" s="3"/>
      <c r="AD51" s="3"/>
      <c r="AE51" s="3"/>
      <c r="AF51" s="3"/>
      <c r="AG51" s="3"/>
      <c r="AH51" s="3"/>
      <c r="AI51" s="3"/>
      <c r="AJ51" s="3"/>
      <c r="AK51" s="3"/>
      <c r="AL51" s="3"/>
    </row>
    <row r="52" spans="1:38" ht="31.5" customHeight="1" x14ac:dyDescent="0.2">
      <c r="A52" s="24"/>
      <c r="B52" s="3"/>
      <c r="C52" s="25"/>
      <c r="D52" s="25"/>
      <c r="E52" s="25"/>
      <c r="F52" s="25"/>
      <c r="G52" s="25"/>
      <c r="H52" s="25"/>
      <c r="I52" s="25"/>
      <c r="J52" s="25"/>
      <c r="K52" s="25"/>
      <c r="L52" s="25"/>
      <c r="M52" s="25"/>
      <c r="N52" s="25"/>
      <c r="O52" s="3"/>
      <c r="P52" s="3"/>
      <c r="Q52" s="3"/>
      <c r="R52" s="3"/>
      <c r="S52" s="3"/>
      <c r="T52" s="3"/>
      <c r="U52" s="3"/>
      <c r="V52" s="3"/>
      <c r="W52" s="3"/>
      <c r="X52" s="3"/>
      <c r="Y52" s="3"/>
      <c r="Z52" s="3"/>
      <c r="AA52" s="3"/>
      <c r="AB52" s="3"/>
      <c r="AC52" s="3"/>
      <c r="AD52" s="3"/>
      <c r="AE52" s="3"/>
      <c r="AF52" s="3"/>
      <c r="AG52" s="3"/>
      <c r="AH52" s="3"/>
      <c r="AI52" s="3"/>
      <c r="AJ52" s="3"/>
      <c r="AK52" s="3"/>
      <c r="AL52" s="3"/>
    </row>
    <row r="53" spans="1:38" ht="50" customHeight="1" x14ac:dyDescent="0.2">
      <c r="A53" s="15" t="s">
        <v>320</v>
      </c>
      <c r="B53" s="3"/>
      <c r="C53" s="107" t="s">
        <v>412</v>
      </c>
      <c r="D53" s="107"/>
      <c r="E53" s="107"/>
      <c r="F53" s="107"/>
      <c r="G53" s="107"/>
      <c r="H53" s="107"/>
      <c r="I53" s="107"/>
      <c r="J53" s="107"/>
      <c r="K53" s="107"/>
      <c r="L53" s="107"/>
      <c r="M53" s="107"/>
      <c r="N53" s="25"/>
      <c r="O53" s="3"/>
      <c r="P53" s="3"/>
      <c r="Q53" s="3"/>
      <c r="R53" s="3"/>
      <c r="S53" s="3"/>
      <c r="T53" s="3"/>
      <c r="U53" s="3"/>
      <c r="V53" s="3"/>
      <c r="W53" s="3"/>
      <c r="X53" s="3"/>
      <c r="Y53" s="3"/>
      <c r="Z53" s="3"/>
      <c r="AA53" s="3"/>
      <c r="AB53" s="3"/>
      <c r="AC53" s="3"/>
      <c r="AD53" s="3"/>
      <c r="AE53" s="3"/>
      <c r="AF53" s="3"/>
      <c r="AG53" s="3"/>
      <c r="AH53" s="3"/>
      <c r="AI53" s="3"/>
      <c r="AJ53" s="3"/>
      <c r="AK53" s="3"/>
      <c r="AL53" s="3"/>
    </row>
    <row r="54" spans="1:38" ht="292" customHeight="1" x14ac:dyDescent="0.2">
      <c r="A54" s="24"/>
      <c r="B54" s="3"/>
      <c r="C54" s="25"/>
      <c r="D54" s="25"/>
      <c r="E54" s="25"/>
      <c r="F54" s="25"/>
      <c r="G54" s="25"/>
      <c r="H54" s="25"/>
      <c r="I54" s="25"/>
      <c r="J54" s="25"/>
      <c r="K54" s="25"/>
      <c r="L54" s="25"/>
      <c r="M54" s="25"/>
      <c r="N54" s="25"/>
      <c r="O54" s="3"/>
      <c r="P54" s="3"/>
      <c r="Q54" s="3"/>
      <c r="R54" s="3"/>
      <c r="S54" s="3"/>
      <c r="T54" s="3"/>
      <c r="U54" s="3"/>
      <c r="V54" s="3"/>
      <c r="W54" s="3"/>
      <c r="X54" s="3"/>
      <c r="Y54" s="3"/>
      <c r="Z54" s="3"/>
      <c r="AA54" s="3"/>
      <c r="AB54" s="3"/>
      <c r="AC54" s="3"/>
      <c r="AD54" s="3"/>
      <c r="AE54" s="3"/>
      <c r="AF54" s="3"/>
      <c r="AG54" s="3"/>
      <c r="AH54" s="3"/>
      <c r="AI54" s="3"/>
      <c r="AJ54" s="3"/>
      <c r="AK54" s="3"/>
      <c r="AL54" s="3"/>
    </row>
    <row r="55" spans="1:38" ht="31.5" customHeight="1" x14ac:dyDescent="0.2">
      <c r="A55" s="29"/>
      <c r="B55" s="29"/>
      <c r="C55" s="29"/>
      <c r="D55" s="29"/>
      <c r="E55" s="29"/>
      <c r="F55" s="29"/>
      <c r="G55" s="29"/>
      <c r="H55" s="29"/>
      <c r="I55" s="29"/>
      <c r="J55" s="29"/>
      <c r="K55" s="29"/>
      <c r="L55" s="29"/>
      <c r="M55" s="29"/>
      <c r="N55" s="29"/>
      <c r="O55" s="29"/>
      <c r="P55" s="29"/>
      <c r="Q55" s="29"/>
      <c r="R55" s="29"/>
      <c r="S55" s="29"/>
      <c r="T55" s="29"/>
      <c r="U55" s="3"/>
      <c r="V55" s="3"/>
      <c r="W55" s="3"/>
      <c r="X55" s="3"/>
      <c r="Y55" s="3"/>
      <c r="Z55" s="3"/>
      <c r="AA55" s="3"/>
      <c r="AB55" s="3"/>
      <c r="AC55" s="3"/>
      <c r="AD55" s="3"/>
      <c r="AE55" s="3"/>
      <c r="AF55" s="3"/>
      <c r="AG55" s="3"/>
      <c r="AH55" s="3"/>
      <c r="AI55" s="3"/>
      <c r="AJ55" s="3"/>
      <c r="AK55" s="3"/>
      <c r="AL55" s="3"/>
    </row>
    <row r="56" spans="1:38" ht="17.25" customHeight="1" x14ac:dyDescent="0.2">
      <c r="A56" s="15" t="s">
        <v>117</v>
      </c>
      <c r="B56" s="3"/>
      <c r="C56" s="25"/>
      <c r="D56" s="25"/>
      <c r="E56" s="25"/>
      <c r="F56" s="25"/>
      <c r="G56" s="25"/>
      <c r="H56" s="25"/>
      <c r="I56" s="25"/>
      <c r="J56" s="25"/>
      <c r="K56" s="25"/>
      <c r="L56" s="25"/>
      <c r="M56" s="25"/>
      <c r="N56" s="25"/>
      <c r="O56" s="3"/>
      <c r="P56" s="3"/>
      <c r="Q56" s="3"/>
      <c r="R56" s="3"/>
      <c r="S56" s="3"/>
      <c r="T56" s="3"/>
      <c r="U56" s="3"/>
      <c r="V56" s="3"/>
      <c r="W56" s="3"/>
      <c r="X56" s="3"/>
      <c r="Y56" s="3"/>
      <c r="Z56" s="3"/>
      <c r="AA56" s="3"/>
      <c r="AB56" s="3"/>
      <c r="AC56" s="3"/>
      <c r="AD56" s="3"/>
      <c r="AE56" s="3"/>
      <c r="AF56" s="3"/>
      <c r="AG56" s="3"/>
      <c r="AH56" s="3"/>
      <c r="AI56" s="3"/>
      <c r="AJ56" s="3"/>
      <c r="AK56" s="3"/>
      <c r="AL56" s="3"/>
    </row>
    <row r="57" spans="1:38" ht="373.5" customHeight="1" x14ac:dyDescent="0.2">
      <c r="A57" s="31" t="str">
        <f>(A1)</f>
        <v>Indicator 1</v>
      </c>
      <c r="B57" s="3"/>
      <c r="C57" s="82" t="s">
        <v>118</v>
      </c>
      <c r="D57" s="83"/>
      <c r="E57" s="83"/>
      <c r="F57" s="83"/>
      <c r="G57" s="83"/>
      <c r="H57" s="83"/>
      <c r="I57" s="83"/>
      <c r="J57" s="83"/>
      <c r="K57" s="83"/>
      <c r="L57" s="83"/>
      <c r="M57" s="83"/>
      <c r="N57" s="83"/>
      <c r="O57" s="32"/>
      <c r="P57" s="3"/>
      <c r="Q57" s="3"/>
      <c r="R57" s="3"/>
      <c r="S57" s="3"/>
      <c r="T57" s="3"/>
      <c r="U57" s="3"/>
      <c r="V57" s="3"/>
      <c r="W57" s="3"/>
      <c r="X57" s="3"/>
      <c r="Y57" s="3"/>
      <c r="Z57" s="3"/>
      <c r="AA57" s="3"/>
      <c r="AB57" s="3"/>
      <c r="AC57" s="3"/>
      <c r="AD57" s="3"/>
      <c r="AE57" s="3"/>
      <c r="AF57" s="3"/>
      <c r="AG57" s="3"/>
      <c r="AH57" s="3"/>
      <c r="AI57" s="3"/>
      <c r="AJ57" s="3"/>
      <c r="AK57" s="3"/>
      <c r="AL57" s="3"/>
    </row>
    <row r="58" spans="1:38" ht="17.25" customHeight="1" x14ac:dyDescent="0.2">
      <c r="A58" s="24"/>
      <c r="B58" s="3"/>
      <c r="C58" s="32"/>
      <c r="D58" s="32"/>
      <c r="E58" s="32"/>
      <c r="F58" s="32"/>
      <c r="G58" s="32"/>
      <c r="H58" s="32"/>
      <c r="I58" s="32"/>
      <c r="J58" s="32"/>
      <c r="K58" s="32"/>
      <c r="L58" s="32"/>
      <c r="M58" s="32"/>
      <c r="N58" s="32"/>
      <c r="O58" s="3"/>
      <c r="P58" s="3"/>
      <c r="Q58" s="3"/>
      <c r="R58" s="3"/>
      <c r="S58" s="3"/>
      <c r="T58" s="3"/>
      <c r="U58" s="3"/>
      <c r="V58" s="3"/>
      <c r="W58" s="3"/>
      <c r="X58" s="3"/>
      <c r="Y58" s="3"/>
      <c r="Z58" s="3"/>
      <c r="AA58" s="3"/>
      <c r="AB58" s="3"/>
      <c r="AC58" s="3"/>
      <c r="AD58" s="3"/>
      <c r="AE58" s="3"/>
      <c r="AF58" s="3"/>
      <c r="AG58" s="3"/>
      <c r="AH58" s="3"/>
      <c r="AI58" s="3"/>
      <c r="AJ58" s="3"/>
      <c r="AK58" s="3"/>
      <c r="AL58" s="3"/>
    </row>
    <row r="59" spans="1:38" ht="17.25" customHeight="1" x14ac:dyDescent="0.2">
      <c r="A59" s="15" t="s">
        <v>119</v>
      </c>
      <c r="B59" s="3"/>
      <c r="C59" s="32"/>
      <c r="D59" s="32"/>
      <c r="E59" s="32"/>
      <c r="F59" s="32"/>
      <c r="G59" s="32"/>
      <c r="H59" s="32"/>
      <c r="I59" s="32"/>
      <c r="J59" s="32"/>
      <c r="K59" s="32"/>
      <c r="L59" s="32"/>
      <c r="M59" s="32"/>
      <c r="N59" s="32"/>
      <c r="O59" s="3"/>
      <c r="P59" s="3"/>
      <c r="Q59" s="3"/>
      <c r="R59" s="3"/>
      <c r="S59" s="3"/>
      <c r="T59" s="3"/>
      <c r="U59" s="3"/>
      <c r="V59" s="3"/>
      <c r="W59" s="3"/>
      <c r="X59" s="3"/>
      <c r="Y59" s="3"/>
      <c r="Z59" s="3"/>
      <c r="AA59" s="3"/>
      <c r="AB59" s="3"/>
      <c r="AC59" s="3"/>
      <c r="AD59" s="3"/>
      <c r="AE59" s="3"/>
      <c r="AF59" s="3"/>
      <c r="AG59" s="3"/>
      <c r="AH59" s="3"/>
      <c r="AI59" s="3"/>
      <c r="AJ59" s="3"/>
      <c r="AK59" s="3"/>
      <c r="AL59" s="3"/>
    </row>
    <row r="60" spans="1:38" ht="198.75" customHeight="1" x14ac:dyDescent="0.2">
      <c r="A60" s="31" t="s">
        <v>120</v>
      </c>
      <c r="B60" s="3"/>
      <c r="C60" s="102" t="s">
        <v>121</v>
      </c>
      <c r="D60" s="83"/>
      <c r="E60" s="83"/>
      <c r="F60" s="83"/>
      <c r="G60" s="83"/>
      <c r="H60" s="83"/>
      <c r="I60" s="83"/>
      <c r="J60" s="83"/>
      <c r="K60" s="83"/>
      <c r="L60" s="83"/>
      <c r="M60" s="83"/>
      <c r="N60" s="83"/>
      <c r="O60" s="32"/>
      <c r="P60" s="3"/>
      <c r="Q60" s="3"/>
      <c r="R60" s="3"/>
      <c r="S60" s="3"/>
      <c r="T60" s="3"/>
      <c r="U60" s="3"/>
      <c r="V60" s="3"/>
      <c r="W60" s="3"/>
      <c r="X60" s="3"/>
      <c r="Y60" s="3"/>
      <c r="Z60" s="3"/>
      <c r="AA60" s="3"/>
      <c r="AB60" s="3"/>
      <c r="AC60" s="3"/>
      <c r="AD60" s="3"/>
      <c r="AE60" s="3"/>
      <c r="AF60" s="3"/>
      <c r="AG60" s="3"/>
      <c r="AH60" s="3"/>
      <c r="AI60" s="3"/>
      <c r="AJ60" s="3"/>
      <c r="AK60" s="3"/>
      <c r="AL60" s="3"/>
    </row>
    <row r="61" spans="1:38" ht="348" customHeight="1" x14ac:dyDescent="0.2">
      <c r="A61" s="33" t="s">
        <v>122</v>
      </c>
      <c r="B61" s="3"/>
      <c r="C61" s="82" t="s">
        <v>123</v>
      </c>
      <c r="D61" s="83"/>
      <c r="E61" s="83"/>
      <c r="F61" s="83"/>
      <c r="G61" s="83"/>
      <c r="H61" s="83"/>
      <c r="I61" s="83"/>
      <c r="J61" s="83"/>
      <c r="K61" s="83"/>
      <c r="L61" s="83"/>
      <c r="M61" s="83"/>
      <c r="N61" s="83"/>
      <c r="O61" s="34"/>
      <c r="P61" s="3"/>
      <c r="Q61" s="3"/>
      <c r="R61" s="3"/>
      <c r="S61" s="3"/>
      <c r="T61" s="3"/>
      <c r="U61" s="3"/>
      <c r="V61" s="3"/>
      <c r="W61" s="3"/>
      <c r="X61" s="3"/>
      <c r="Y61" s="3"/>
      <c r="Z61" s="3"/>
      <c r="AA61" s="3"/>
      <c r="AB61" s="3"/>
      <c r="AC61" s="3"/>
      <c r="AD61" s="3"/>
      <c r="AE61" s="3"/>
      <c r="AF61" s="3"/>
      <c r="AG61" s="3"/>
      <c r="AH61" s="3"/>
      <c r="AI61" s="3"/>
      <c r="AJ61" s="3"/>
      <c r="AK61" s="3"/>
      <c r="AL61" s="3"/>
    </row>
    <row r="62" spans="1:38" ht="15.75" customHeight="1" x14ac:dyDescent="0.2">
      <c r="A62" s="33"/>
      <c r="B62" s="3"/>
      <c r="C62" s="35" t="s">
        <v>124</v>
      </c>
      <c r="D62" s="32"/>
      <c r="E62" s="32"/>
      <c r="F62" s="32"/>
      <c r="G62" s="32"/>
      <c r="H62" s="32"/>
      <c r="I62" s="32"/>
      <c r="J62" s="32"/>
      <c r="K62" s="32"/>
      <c r="L62" s="32"/>
      <c r="M62" s="32"/>
      <c r="N62" s="32"/>
      <c r="O62" s="34"/>
      <c r="P62" s="3"/>
      <c r="Q62" s="3"/>
      <c r="R62" s="3"/>
      <c r="S62" s="3"/>
      <c r="T62" s="3"/>
      <c r="U62" s="3"/>
      <c r="V62" s="3"/>
      <c r="W62" s="3"/>
      <c r="X62" s="3"/>
      <c r="Y62" s="3"/>
      <c r="Z62" s="3"/>
      <c r="AA62" s="3"/>
      <c r="AB62" s="3"/>
      <c r="AC62" s="3"/>
      <c r="AD62" s="3"/>
      <c r="AE62" s="3"/>
      <c r="AF62" s="3"/>
      <c r="AG62" s="3"/>
      <c r="AH62" s="3"/>
      <c r="AI62" s="3"/>
      <c r="AJ62" s="3"/>
      <c r="AK62" s="3"/>
      <c r="AL62" s="3"/>
    </row>
    <row r="63" spans="1:38" ht="31.5" customHeight="1" x14ac:dyDescent="0.2">
      <c r="A63" s="33"/>
      <c r="B63" s="3"/>
      <c r="C63" s="105" t="s">
        <v>125</v>
      </c>
      <c r="D63" s="99"/>
      <c r="E63" s="106" t="s">
        <v>126</v>
      </c>
      <c r="F63" s="98"/>
      <c r="G63" s="98"/>
      <c r="H63" s="98"/>
      <c r="I63" s="98"/>
      <c r="J63" s="98"/>
      <c r="K63" s="98"/>
      <c r="L63" s="98"/>
      <c r="M63" s="98"/>
      <c r="N63" s="99"/>
      <c r="O63" s="34"/>
      <c r="P63" s="3"/>
      <c r="Q63" s="3"/>
      <c r="R63" s="3"/>
      <c r="S63" s="3"/>
      <c r="T63" s="3"/>
      <c r="U63" s="3"/>
      <c r="V63" s="3"/>
      <c r="W63" s="3"/>
      <c r="X63" s="3"/>
      <c r="Y63" s="3"/>
      <c r="Z63" s="3"/>
      <c r="AA63" s="3"/>
      <c r="AB63" s="3"/>
      <c r="AC63" s="3"/>
      <c r="AD63" s="3"/>
      <c r="AE63" s="3"/>
      <c r="AF63" s="3"/>
      <c r="AG63" s="3"/>
      <c r="AH63" s="3"/>
      <c r="AI63" s="3"/>
      <c r="AJ63" s="3"/>
      <c r="AK63" s="3"/>
      <c r="AL63" s="3"/>
    </row>
    <row r="64" spans="1:38" ht="31.5" customHeight="1" x14ac:dyDescent="0.2">
      <c r="A64" s="33"/>
      <c r="B64" s="3"/>
      <c r="C64" s="101" t="s">
        <v>80</v>
      </c>
      <c r="D64" s="99"/>
      <c r="E64" s="103"/>
      <c r="F64" s="98"/>
      <c r="G64" s="98"/>
      <c r="H64" s="98"/>
      <c r="I64" s="98"/>
      <c r="J64" s="98"/>
      <c r="K64" s="98"/>
      <c r="L64" s="98"/>
      <c r="M64" s="98"/>
      <c r="N64" s="99"/>
      <c r="O64" s="3"/>
      <c r="P64" s="3"/>
      <c r="Q64" s="3"/>
      <c r="R64" s="3"/>
      <c r="S64" s="3"/>
      <c r="T64" s="3"/>
      <c r="U64" s="3"/>
      <c r="V64" s="3"/>
      <c r="W64" s="3"/>
      <c r="X64" s="3"/>
      <c r="Y64" s="3"/>
      <c r="Z64" s="3"/>
      <c r="AA64" s="3"/>
      <c r="AB64" s="3"/>
      <c r="AC64" s="3"/>
      <c r="AD64" s="3"/>
      <c r="AE64" s="3"/>
      <c r="AF64" s="3"/>
      <c r="AG64" s="3"/>
      <c r="AH64" s="3"/>
      <c r="AI64" s="3"/>
      <c r="AJ64" s="3"/>
      <c r="AK64" s="3"/>
      <c r="AL64" s="3"/>
    </row>
    <row r="65" spans="1:38" ht="31.5" customHeight="1" x14ac:dyDescent="0.2">
      <c r="A65" s="33"/>
      <c r="B65" s="3"/>
      <c r="C65" s="101" t="s">
        <v>83</v>
      </c>
      <c r="D65" s="99"/>
      <c r="E65" s="103"/>
      <c r="F65" s="98"/>
      <c r="G65" s="98"/>
      <c r="H65" s="98"/>
      <c r="I65" s="98"/>
      <c r="J65" s="98"/>
      <c r="K65" s="98"/>
      <c r="L65" s="98"/>
      <c r="M65" s="98"/>
      <c r="N65" s="99"/>
      <c r="O65" s="3"/>
      <c r="P65" s="3"/>
      <c r="Q65" s="3"/>
      <c r="R65" s="3"/>
      <c r="S65" s="3"/>
      <c r="T65" s="3"/>
      <c r="U65" s="3"/>
      <c r="V65" s="3"/>
      <c r="W65" s="3"/>
      <c r="X65" s="3"/>
      <c r="Y65" s="3"/>
      <c r="Z65" s="3"/>
      <c r="AA65" s="3"/>
      <c r="AB65" s="3"/>
      <c r="AC65" s="3"/>
      <c r="AD65" s="3"/>
      <c r="AE65" s="3"/>
      <c r="AF65" s="3"/>
      <c r="AG65" s="3"/>
      <c r="AH65" s="3"/>
      <c r="AI65" s="3"/>
      <c r="AJ65" s="3"/>
      <c r="AK65" s="3"/>
      <c r="AL65" s="3"/>
    </row>
    <row r="66" spans="1:38" ht="31.5" customHeight="1" x14ac:dyDescent="0.2">
      <c r="A66" s="33"/>
      <c r="B66" s="3"/>
      <c r="C66" s="101" t="s">
        <v>84</v>
      </c>
      <c r="D66" s="99"/>
      <c r="E66" s="101" t="s">
        <v>127</v>
      </c>
      <c r="F66" s="98"/>
      <c r="G66" s="98"/>
      <c r="H66" s="98"/>
      <c r="I66" s="98"/>
      <c r="J66" s="98"/>
      <c r="K66" s="98"/>
      <c r="L66" s="98"/>
      <c r="M66" s="98"/>
      <c r="N66" s="99"/>
      <c r="O66" s="3"/>
      <c r="P66" s="3"/>
      <c r="Q66" s="3"/>
      <c r="R66" s="3"/>
      <c r="S66" s="3"/>
      <c r="T66" s="3"/>
      <c r="U66" s="3"/>
      <c r="V66" s="3"/>
      <c r="W66" s="3"/>
      <c r="X66" s="3"/>
      <c r="Y66" s="3"/>
      <c r="Z66" s="3"/>
      <c r="AA66" s="3"/>
      <c r="AB66" s="3"/>
      <c r="AC66" s="3"/>
      <c r="AD66" s="3"/>
      <c r="AE66" s="3"/>
      <c r="AF66" s="3"/>
      <c r="AG66" s="3"/>
      <c r="AH66" s="3"/>
      <c r="AI66" s="3"/>
      <c r="AJ66" s="3"/>
      <c r="AK66" s="3"/>
      <c r="AL66" s="3"/>
    </row>
    <row r="67" spans="1:38" ht="31.5" customHeight="1" x14ac:dyDescent="0.2">
      <c r="A67" s="33"/>
      <c r="B67" s="3"/>
      <c r="C67" s="101" t="s">
        <v>85</v>
      </c>
      <c r="D67" s="99"/>
      <c r="E67" s="101" t="s">
        <v>128</v>
      </c>
      <c r="F67" s="98"/>
      <c r="G67" s="98"/>
      <c r="H67" s="98"/>
      <c r="I67" s="98"/>
      <c r="J67" s="98"/>
      <c r="K67" s="98"/>
      <c r="L67" s="98"/>
      <c r="M67" s="98"/>
      <c r="N67" s="99"/>
      <c r="O67" s="3"/>
      <c r="P67" s="3"/>
      <c r="Q67" s="3"/>
      <c r="R67" s="3"/>
      <c r="S67" s="3"/>
      <c r="T67" s="3"/>
      <c r="U67" s="3"/>
      <c r="V67" s="3"/>
      <c r="W67" s="3"/>
      <c r="X67" s="3"/>
      <c r="Y67" s="3"/>
      <c r="Z67" s="3"/>
      <c r="AA67" s="3"/>
      <c r="AB67" s="3"/>
      <c r="AC67" s="3"/>
      <c r="AD67" s="3"/>
      <c r="AE67" s="3"/>
      <c r="AF67" s="3"/>
      <c r="AG67" s="3"/>
      <c r="AH67" s="3"/>
      <c r="AI67" s="3"/>
      <c r="AJ67" s="3"/>
      <c r="AK67" s="3"/>
      <c r="AL67" s="3"/>
    </row>
    <row r="68" spans="1:38" ht="31.5" customHeight="1" x14ac:dyDescent="0.2">
      <c r="A68" s="33"/>
      <c r="B68" s="3"/>
      <c r="C68" s="101" t="s">
        <v>129</v>
      </c>
      <c r="D68" s="99"/>
      <c r="E68" s="101" t="s">
        <v>130</v>
      </c>
      <c r="F68" s="98"/>
      <c r="G68" s="98"/>
      <c r="H68" s="98"/>
      <c r="I68" s="98"/>
      <c r="J68" s="98"/>
      <c r="K68" s="98"/>
      <c r="L68" s="98"/>
      <c r="M68" s="98"/>
      <c r="N68" s="99"/>
      <c r="O68" s="3"/>
      <c r="P68" s="3"/>
      <c r="Q68" s="3"/>
      <c r="R68" s="3"/>
      <c r="S68" s="3"/>
      <c r="T68" s="3"/>
      <c r="U68" s="3"/>
      <c r="V68" s="3"/>
      <c r="W68" s="3"/>
      <c r="X68" s="3"/>
      <c r="Y68" s="3"/>
      <c r="Z68" s="3"/>
      <c r="AA68" s="3"/>
      <c r="AB68" s="3"/>
      <c r="AC68" s="3"/>
      <c r="AD68" s="3"/>
      <c r="AE68" s="3"/>
      <c r="AF68" s="3"/>
      <c r="AG68" s="3"/>
      <c r="AH68" s="3"/>
      <c r="AI68" s="3"/>
      <c r="AJ68" s="3"/>
      <c r="AK68" s="3"/>
      <c r="AL68" s="3"/>
    </row>
    <row r="69" spans="1:38" ht="31.5" customHeight="1" x14ac:dyDescent="0.2">
      <c r="A69" s="33"/>
      <c r="B69" s="3"/>
      <c r="C69" s="101" t="s">
        <v>87</v>
      </c>
      <c r="D69" s="99"/>
      <c r="E69" s="101" t="s">
        <v>131</v>
      </c>
      <c r="F69" s="98"/>
      <c r="G69" s="98"/>
      <c r="H69" s="98"/>
      <c r="I69" s="98"/>
      <c r="J69" s="98"/>
      <c r="K69" s="98"/>
      <c r="L69" s="98"/>
      <c r="M69" s="98"/>
      <c r="N69" s="99"/>
      <c r="O69" s="3"/>
      <c r="P69" s="3"/>
      <c r="Q69" s="3"/>
      <c r="R69" s="3"/>
      <c r="S69" s="3"/>
      <c r="T69" s="3"/>
      <c r="U69" s="3"/>
      <c r="V69" s="3"/>
      <c r="W69" s="3"/>
      <c r="X69" s="3"/>
      <c r="Y69" s="3"/>
      <c r="Z69" s="3"/>
      <c r="AA69" s="3"/>
      <c r="AB69" s="3"/>
      <c r="AC69" s="3"/>
      <c r="AD69" s="3"/>
      <c r="AE69" s="3"/>
      <c r="AF69" s="3"/>
      <c r="AG69" s="3"/>
      <c r="AH69" s="3"/>
      <c r="AI69" s="3"/>
      <c r="AJ69" s="3"/>
      <c r="AK69" s="3"/>
      <c r="AL69" s="3"/>
    </row>
    <row r="70" spans="1:38" ht="108" customHeight="1" x14ac:dyDescent="0.2">
      <c r="A70" s="33"/>
      <c r="B70" s="3"/>
      <c r="C70" s="101" t="s">
        <v>132</v>
      </c>
      <c r="D70" s="99"/>
      <c r="E70" s="101" t="s">
        <v>133</v>
      </c>
      <c r="F70" s="98"/>
      <c r="G70" s="98"/>
      <c r="H70" s="98"/>
      <c r="I70" s="98"/>
      <c r="J70" s="98"/>
      <c r="K70" s="98"/>
      <c r="L70" s="98"/>
      <c r="M70" s="98"/>
      <c r="N70" s="99"/>
      <c r="O70" s="3"/>
      <c r="P70" s="3"/>
      <c r="Q70" s="3"/>
      <c r="R70" s="3"/>
      <c r="S70" s="3"/>
      <c r="T70" s="3"/>
      <c r="U70" s="3"/>
      <c r="V70" s="3"/>
      <c r="W70" s="3"/>
      <c r="X70" s="3"/>
      <c r="Y70" s="3"/>
      <c r="Z70" s="3"/>
      <c r="AA70" s="3"/>
      <c r="AB70" s="3"/>
      <c r="AC70" s="3"/>
      <c r="AD70" s="3"/>
      <c r="AE70" s="3"/>
      <c r="AF70" s="3"/>
      <c r="AG70" s="3"/>
      <c r="AH70" s="3"/>
      <c r="AI70" s="3"/>
      <c r="AJ70" s="3"/>
      <c r="AK70" s="3"/>
      <c r="AL70" s="3"/>
    </row>
    <row r="71" spans="1:38" ht="31.5" customHeight="1" x14ac:dyDescent="0.2">
      <c r="A71" s="33"/>
      <c r="B71" s="3"/>
      <c r="C71" s="101" t="s">
        <v>134</v>
      </c>
      <c r="D71" s="99"/>
      <c r="E71" s="101" t="s">
        <v>135</v>
      </c>
      <c r="F71" s="98"/>
      <c r="G71" s="98"/>
      <c r="H71" s="98"/>
      <c r="I71" s="98"/>
      <c r="J71" s="98"/>
      <c r="K71" s="98"/>
      <c r="L71" s="98"/>
      <c r="M71" s="98"/>
      <c r="N71" s="99"/>
      <c r="O71" s="3"/>
      <c r="P71" s="3"/>
      <c r="Q71" s="3"/>
      <c r="R71" s="3"/>
      <c r="S71" s="3"/>
      <c r="T71" s="3"/>
      <c r="U71" s="3"/>
      <c r="V71" s="3"/>
      <c r="W71" s="3"/>
      <c r="X71" s="3"/>
      <c r="Y71" s="3"/>
      <c r="Z71" s="3"/>
      <c r="AA71" s="3"/>
      <c r="AB71" s="3"/>
      <c r="AC71" s="3"/>
      <c r="AD71" s="3"/>
      <c r="AE71" s="3"/>
      <c r="AF71" s="3"/>
      <c r="AG71" s="3"/>
      <c r="AH71" s="3"/>
      <c r="AI71" s="3"/>
      <c r="AJ71" s="3"/>
      <c r="AK71" s="3"/>
      <c r="AL71" s="3"/>
    </row>
    <row r="72" spans="1:38" ht="31.5" customHeight="1" x14ac:dyDescent="0.2">
      <c r="A72" s="33"/>
      <c r="B72" s="3"/>
      <c r="C72" s="101" t="s">
        <v>136</v>
      </c>
      <c r="D72" s="99"/>
      <c r="E72" s="104"/>
      <c r="F72" s="98"/>
      <c r="G72" s="98"/>
      <c r="H72" s="98"/>
      <c r="I72" s="98"/>
      <c r="J72" s="98"/>
      <c r="K72" s="98"/>
      <c r="L72" s="98"/>
      <c r="M72" s="98"/>
      <c r="N72" s="99"/>
      <c r="O72" s="3"/>
      <c r="P72" s="3"/>
      <c r="Q72" s="3"/>
      <c r="R72" s="3"/>
      <c r="S72" s="3"/>
      <c r="T72" s="3"/>
      <c r="U72" s="3"/>
      <c r="V72" s="3"/>
      <c r="W72" s="3"/>
      <c r="X72" s="3"/>
      <c r="Y72" s="3"/>
      <c r="Z72" s="3"/>
      <c r="AA72" s="3"/>
      <c r="AB72" s="3"/>
      <c r="AC72" s="3"/>
      <c r="AD72" s="3"/>
      <c r="AE72" s="3"/>
      <c r="AF72" s="3"/>
      <c r="AG72" s="3"/>
      <c r="AH72" s="3"/>
      <c r="AI72" s="3"/>
      <c r="AJ72" s="3"/>
      <c r="AK72" s="3"/>
      <c r="AL72" s="3"/>
    </row>
    <row r="73" spans="1:38" ht="31.5" customHeight="1" x14ac:dyDescent="0.2">
      <c r="A73" s="33"/>
      <c r="B73" s="3"/>
      <c r="C73" s="101" t="s">
        <v>137</v>
      </c>
      <c r="D73" s="99"/>
      <c r="E73" s="101" t="s">
        <v>138</v>
      </c>
      <c r="F73" s="98"/>
      <c r="G73" s="98"/>
      <c r="H73" s="98"/>
      <c r="I73" s="98"/>
      <c r="J73" s="98"/>
      <c r="K73" s="98"/>
      <c r="L73" s="98"/>
      <c r="M73" s="98"/>
      <c r="N73" s="99"/>
      <c r="O73" s="3"/>
      <c r="P73" s="3"/>
      <c r="Q73" s="3"/>
      <c r="R73" s="3"/>
      <c r="S73" s="3"/>
      <c r="T73" s="3"/>
      <c r="U73" s="3"/>
      <c r="V73" s="3"/>
      <c r="W73" s="3"/>
      <c r="X73" s="3"/>
      <c r="Y73" s="3"/>
      <c r="Z73" s="3"/>
      <c r="AA73" s="3"/>
      <c r="AB73" s="3"/>
      <c r="AC73" s="3"/>
      <c r="AD73" s="3"/>
      <c r="AE73" s="3"/>
      <c r="AF73" s="3"/>
      <c r="AG73" s="3"/>
      <c r="AH73" s="3"/>
      <c r="AI73" s="3"/>
      <c r="AJ73" s="3"/>
      <c r="AK73" s="3"/>
      <c r="AL73" s="3"/>
    </row>
    <row r="74" spans="1:38" ht="31.5" customHeight="1" x14ac:dyDescent="0.2">
      <c r="A74" s="33"/>
      <c r="B74" s="3"/>
      <c r="C74" s="101" t="s">
        <v>99</v>
      </c>
      <c r="D74" s="99"/>
      <c r="E74" s="101" t="s">
        <v>139</v>
      </c>
      <c r="F74" s="98"/>
      <c r="G74" s="98"/>
      <c r="H74" s="98"/>
      <c r="I74" s="98"/>
      <c r="J74" s="98"/>
      <c r="K74" s="98"/>
      <c r="L74" s="98"/>
      <c r="M74" s="98"/>
      <c r="N74" s="99"/>
      <c r="O74" s="3"/>
      <c r="P74" s="3"/>
      <c r="Q74" s="3"/>
      <c r="R74" s="3"/>
      <c r="S74" s="3"/>
      <c r="T74" s="3"/>
      <c r="U74" s="3"/>
      <c r="V74" s="3"/>
      <c r="W74" s="3"/>
      <c r="X74" s="3"/>
      <c r="Y74" s="3"/>
      <c r="Z74" s="3"/>
      <c r="AA74" s="3"/>
      <c r="AB74" s="3"/>
      <c r="AC74" s="3"/>
      <c r="AD74" s="3"/>
      <c r="AE74" s="3"/>
      <c r="AF74" s="3"/>
      <c r="AG74" s="3"/>
      <c r="AH74" s="3"/>
      <c r="AI74" s="3"/>
      <c r="AJ74" s="3"/>
      <c r="AK74" s="3"/>
      <c r="AL74" s="3"/>
    </row>
    <row r="75" spans="1:38" ht="31.5" customHeight="1" x14ac:dyDescent="0.2">
      <c r="A75" s="33"/>
      <c r="B75" s="3"/>
      <c r="C75" s="101" t="s">
        <v>140</v>
      </c>
      <c r="D75" s="99"/>
      <c r="E75" s="101" t="s">
        <v>141</v>
      </c>
      <c r="F75" s="98"/>
      <c r="G75" s="98"/>
      <c r="H75" s="98"/>
      <c r="I75" s="98"/>
      <c r="J75" s="98"/>
      <c r="K75" s="98"/>
      <c r="L75" s="98"/>
      <c r="M75" s="98"/>
      <c r="N75" s="99"/>
      <c r="O75" s="3"/>
      <c r="P75" s="3"/>
      <c r="Q75" s="3"/>
      <c r="R75" s="3"/>
      <c r="S75" s="3"/>
      <c r="T75" s="3"/>
      <c r="U75" s="3"/>
      <c r="V75" s="3"/>
      <c r="W75" s="3"/>
      <c r="X75" s="3"/>
      <c r="Y75" s="3"/>
      <c r="Z75" s="3"/>
      <c r="AA75" s="3"/>
      <c r="AB75" s="3"/>
      <c r="AC75" s="3"/>
      <c r="AD75" s="3"/>
      <c r="AE75" s="3"/>
      <c r="AF75" s="3"/>
      <c r="AG75" s="3"/>
      <c r="AH75" s="3"/>
      <c r="AI75" s="3"/>
      <c r="AJ75" s="3"/>
      <c r="AK75" s="3"/>
      <c r="AL75" s="3"/>
    </row>
    <row r="76" spans="1:38" ht="15.75" customHeight="1" x14ac:dyDescent="0.2">
      <c r="A76" s="3"/>
      <c r="B76" s="3"/>
      <c r="C76" s="32"/>
      <c r="D76" s="32"/>
      <c r="E76" s="32"/>
      <c r="F76" s="32"/>
      <c r="G76" s="32"/>
      <c r="H76" s="32"/>
      <c r="I76" s="32"/>
      <c r="J76" s="32"/>
      <c r="K76" s="32"/>
      <c r="L76" s="32"/>
      <c r="M76" s="32"/>
      <c r="N76" s="32"/>
      <c r="O76" s="3"/>
      <c r="P76" s="3"/>
      <c r="Q76" s="3"/>
      <c r="R76" s="3"/>
      <c r="S76" s="3"/>
      <c r="T76" s="3"/>
      <c r="U76" s="3"/>
      <c r="V76" s="3"/>
      <c r="W76" s="3"/>
      <c r="X76" s="3"/>
      <c r="Y76" s="3"/>
      <c r="Z76" s="3"/>
      <c r="AA76" s="3"/>
      <c r="AB76" s="3"/>
      <c r="AC76" s="3"/>
      <c r="AD76" s="3"/>
      <c r="AE76" s="3"/>
      <c r="AF76" s="3"/>
      <c r="AG76" s="3"/>
      <c r="AH76" s="3"/>
      <c r="AI76" s="3"/>
      <c r="AJ76" s="3"/>
      <c r="AK76" s="3"/>
      <c r="AL76" s="3"/>
    </row>
    <row r="77" spans="1:38" ht="15.75" customHeight="1" x14ac:dyDescent="0.2">
      <c r="A77" s="15" t="s">
        <v>142</v>
      </c>
      <c r="B77" s="3"/>
      <c r="C77" s="32"/>
      <c r="D77" s="32"/>
      <c r="E77" s="32"/>
      <c r="F77" s="32"/>
      <c r="G77" s="32"/>
      <c r="H77" s="32"/>
      <c r="I77" s="32"/>
      <c r="J77" s="32"/>
      <c r="K77" s="32"/>
      <c r="L77" s="32"/>
      <c r="M77" s="32"/>
      <c r="N77" s="32"/>
      <c r="O77" s="3"/>
      <c r="P77" s="3"/>
      <c r="Q77" s="3"/>
      <c r="R77" s="3"/>
      <c r="S77" s="3"/>
      <c r="T77" s="3"/>
      <c r="U77" s="3"/>
      <c r="V77" s="3"/>
      <c r="W77" s="3"/>
      <c r="X77" s="3"/>
      <c r="Y77" s="3"/>
      <c r="Z77" s="3"/>
      <c r="AA77" s="3"/>
      <c r="AB77" s="3"/>
      <c r="AC77" s="3"/>
      <c r="AD77" s="3"/>
      <c r="AE77" s="3"/>
      <c r="AF77" s="3"/>
      <c r="AG77" s="3"/>
      <c r="AH77" s="3"/>
      <c r="AI77" s="3"/>
      <c r="AJ77" s="3"/>
      <c r="AK77" s="3"/>
      <c r="AL77" s="3"/>
    </row>
    <row r="78" spans="1:38" ht="15.75" customHeight="1" x14ac:dyDescent="0.2">
      <c r="A78" s="31" t="str">
        <f>(A1)</f>
        <v>Indicator 1</v>
      </c>
      <c r="B78" s="3"/>
      <c r="C78" s="82" t="s">
        <v>143</v>
      </c>
      <c r="D78" s="83"/>
      <c r="E78" s="83"/>
      <c r="F78" s="83"/>
      <c r="G78" s="83"/>
      <c r="H78" s="83"/>
      <c r="I78" s="83"/>
      <c r="J78" s="83"/>
      <c r="K78" s="83"/>
      <c r="L78" s="83"/>
      <c r="M78" s="83"/>
      <c r="N78" s="83"/>
      <c r="O78" s="3"/>
      <c r="P78" s="3"/>
      <c r="Q78" s="3"/>
      <c r="R78" s="3"/>
      <c r="S78" s="3"/>
      <c r="T78" s="3"/>
      <c r="U78" s="3"/>
      <c r="V78" s="3"/>
      <c r="W78" s="3"/>
      <c r="X78" s="3"/>
      <c r="Y78" s="3"/>
      <c r="Z78" s="3"/>
      <c r="AA78" s="3"/>
      <c r="AB78" s="3"/>
      <c r="AC78" s="3"/>
      <c r="AD78" s="3"/>
      <c r="AE78" s="3"/>
      <c r="AF78" s="3"/>
      <c r="AG78" s="3"/>
      <c r="AH78" s="3"/>
      <c r="AI78" s="3"/>
      <c r="AJ78" s="3"/>
      <c r="AK78" s="3"/>
      <c r="AL78" s="3"/>
    </row>
    <row r="79" spans="1:38" ht="15.75" customHeight="1" x14ac:dyDescent="0.2">
      <c r="A79" s="3"/>
      <c r="B79" s="3"/>
      <c r="C79" s="32"/>
      <c r="D79" s="32"/>
      <c r="E79" s="32"/>
      <c r="F79" s="32"/>
      <c r="G79" s="32"/>
      <c r="H79" s="32"/>
      <c r="I79" s="32"/>
      <c r="J79" s="32"/>
      <c r="K79" s="32"/>
      <c r="L79" s="32"/>
      <c r="M79" s="32"/>
      <c r="N79" s="32"/>
      <c r="O79" s="3"/>
      <c r="P79" s="3"/>
      <c r="Q79" s="3"/>
      <c r="R79" s="3"/>
      <c r="S79" s="3"/>
      <c r="T79" s="3"/>
      <c r="U79" s="3"/>
      <c r="V79" s="3"/>
      <c r="W79" s="3"/>
      <c r="X79" s="3"/>
      <c r="Y79" s="3"/>
      <c r="Z79" s="3"/>
      <c r="AA79" s="3"/>
      <c r="AB79" s="3"/>
      <c r="AC79" s="3"/>
      <c r="AD79" s="3"/>
      <c r="AE79" s="3"/>
      <c r="AF79" s="3"/>
      <c r="AG79" s="3"/>
      <c r="AH79" s="3"/>
      <c r="AI79" s="3"/>
      <c r="AJ79" s="3"/>
      <c r="AK79" s="3"/>
      <c r="AL79" s="3"/>
    </row>
    <row r="80" spans="1:38" ht="15.75" customHeight="1" x14ac:dyDescent="0.2">
      <c r="A80" s="15" t="s">
        <v>144</v>
      </c>
      <c r="B80" s="3"/>
      <c r="C80" s="32"/>
      <c r="D80" s="32"/>
      <c r="E80" s="32"/>
      <c r="F80" s="32"/>
      <c r="G80" s="32"/>
      <c r="H80" s="32"/>
      <c r="I80" s="32"/>
      <c r="J80" s="32"/>
      <c r="K80" s="32"/>
      <c r="L80" s="32"/>
      <c r="M80" s="32"/>
      <c r="N80" s="32"/>
      <c r="O80" s="3"/>
      <c r="P80" s="3"/>
      <c r="Q80" s="3"/>
      <c r="R80" s="3"/>
      <c r="S80" s="3"/>
      <c r="T80" s="3"/>
      <c r="U80" s="3"/>
      <c r="V80" s="3"/>
      <c r="W80" s="3"/>
      <c r="X80" s="3"/>
      <c r="Y80" s="3"/>
      <c r="Z80" s="3"/>
      <c r="AA80" s="3"/>
      <c r="AB80" s="3"/>
      <c r="AC80" s="3"/>
      <c r="AD80" s="3"/>
      <c r="AE80" s="3"/>
      <c r="AF80" s="3"/>
      <c r="AG80" s="3"/>
      <c r="AH80" s="3"/>
      <c r="AI80" s="3"/>
      <c r="AJ80" s="3"/>
      <c r="AK80" s="3"/>
      <c r="AL80" s="3"/>
    </row>
    <row r="81" spans="1:38" ht="128" customHeight="1" x14ac:dyDescent="0.2">
      <c r="A81" s="31" t="str">
        <f>(A1)</f>
        <v>Indicator 1</v>
      </c>
      <c r="B81" s="3"/>
      <c r="C81" s="102" t="s">
        <v>145</v>
      </c>
      <c r="D81" s="83"/>
      <c r="E81" s="83"/>
      <c r="F81" s="83"/>
      <c r="G81" s="83"/>
      <c r="H81" s="83"/>
      <c r="I81" s="83"/>
      <c r="J81" s="83"/>
      <c r="K81" s="83"/>
      <c r="L81" s="83"/>
      <c r="M81" s="83"/>
      <c r="N81" s="83"/>
      <c r="O81" s="36"/>
      <c r="P81" s="36"/>
      <c r="Q81" s="36"/>
      <c r="R81" s="36"/>
      <c r="S81" s="36"/>
      <c r="T81" s="36"/>
      <c r="U81" s="36"/>
      <c r="V81" s="36"/>
      <c r="W81" s="36"/>
      <c r="X81" s="36"/>
      <c r="Y81" s="36"/>
      <c r="Z81" s="36"/>
      <c r="AA81" s="36"/>
      <c r="AB81" s="36"/>
      <c r="AC81" s="36"/>
      <c r="AD81" s="36"/>
      <c r="AE81" s="36"/>
      <c r="AF81" s="36"/>
      <c r="AG81" s="36"/>
      <c r="AH81" s="36"/>
      <c r="AI81" s="36"/>
      <c r="AJ81" s="36"/>
      <c r="AK81" s="36"/>
      <c r="AL81" s="36"/>
    </row>
    <row r="82" spans="1:38" ht="15" customHeight="1" x14ac:dyDescent="0.2">
      <c r="A82" s="3"/>
      <c r="B82" s="3"/>
      <c r="C82" s="32"/>
      <c r="D82" s="32"/>
      <c r="E82" s="32"/>
      <c r="F82" s="32"/>
      <c r="G82" s="32"/>
      <c r="H82" s="32"/>
      <c r="I82" s="32"/>
      <c r="J82" s="32"/>
      <c r="K82" s="32"/>
      <c r="L82" s="32"/>
      <c r="M82" s="32"/>
      <c r="N82" s="32"/>
      <c r="O82" s="3"/>
      <c r="P82" s="3"/>
      <c r="Q82" s="3"/>
      <c r="R82" s="3"/>
      <c r="S82" s="3"/>
      <c r="T82" s="3"/>
      <c r="U82" s="3"/>
      <c r="V82" s="3"/>
      <c r="W82" s="3"/>
      <c r="X82" s="3"/>
      <c r="Y82" s="3"/>
      <c r="Z82" s="3"/>
      <c r="AA82" s="3"/>
      <c r="AB82" s="3"/>
      <c r="AC82" s="3"/>
      <c r="AD82" s="3"/>
      <c r="AE82" s="3"/>
      <c r="AF82" s="3"/>
      <c r="AG82" s="3"/>
      <c r="AH82" s="3"/>
      <c r="AI82" s="3"/>
      <c r="AJ82" s="3"/>
      <c r="AK82" s="3"/>
      <c r="AL82" s="3"/>
    </row>
    <row r="83" spans="1:38"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row>
    <row r="84" spans="1:38"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row>
    <row r="85" spans="1:38"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row>
    <row r="86" spans="1:38"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row>
    <row r="87" spans="1:38"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row>
    <row r="88" spans="1:38"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row>
    <row r="89" spans="1:38"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row>
    <row r="90" spans="1:38"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row>
    <row r="91" spans="1:38"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row>
    <row r="92" spans="1:38"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row>
    <row r="93" spans="1:38"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row>
    <row r="94" spans="1:38"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row>
    <row r="95" spans="1:38"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row>
    <row r="96" spans="1:38"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row>
    <row r="97" spans="1:38"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row>
    <row r="98" spans="1:38"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row>
    <row r="99" spans="1:38"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row>
    <row r="100" spans="1:38"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row>
    <row r="101" spans="1:38"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row>
    <row r="102" spans="1:38"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row>
    <row r="103" spans="1:38"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row>
    <row r="104" spans="1:38"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row>
    <row r="105" spans="1:38"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row>
    <row r="106" spans="1:38"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row>
    <row r="107" spans="1:38"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row>
    <row r="108" spans="1:38"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row>
    <row r="109" spans="1:38"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row>
    <row r="110" spans="1:38"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row>
    <row r="111" spans="1:38"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row>
    <row r="112" spans="1:38"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row>
    <row r="113" spans="1:38"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row>
    <row r="114" spans="1:38"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row>
    <row r="115" spans="1:38"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row>
    <row r="116" spans="1:38"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row>
    <row r="117" spans="1:38"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row>
    <row r="118" spans="1:38"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row>
    <row r="119" spans="1:38"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row>
    <row r="120" spans="1:38"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row>
    <row r="121" spans="1:38"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row>
    <row r="122" spans="1:38"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row>
    <row r="123" spans="1:38"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row>
    <row r="124" spans="1:38"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row>
    <row r="125" spans="1:38"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row>
    <row r="126" spans="1:38"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row>
    <row r="127" spans="1:38"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row>
    <row r="128" spans="1:38"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row>
    <row r="129" spans="1:38"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row>
    <row r="130" spans="1:38"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row>
    <row r="131" spans="1:38"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row>
    <row r="132" spans="1:38"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row>
    <row r="133" spans="1:38"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row>
    <row r="134" spans="1:38"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row>
    <row r="135" spans="1:38"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row>
    <row r="136" spans="1:38"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row>
    <row r="137" spans="1:38"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row>
    <row r="138" spans="1:38"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row>
    <row r="139" spans="1:38"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row>
    <row r="140" spans="1:38"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row>
    <row r="141" spans="1:38"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row>
    <row r="142" spans="1:38"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row>
    <row r="143" spans="1:38"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row>
    <row r="144" spans="1:38"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row>
    <row r="145" spans="1:38"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row>
    <row r="146" spans="1:38"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row>
    <row r="147" spans="1:38"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row>
    <row r="148" spans="1:38"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row>
    <row r="149" spans="1:38"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row>
    <row r="150" spans="1:38"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row>
    <row r="151" spans="1:38"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row>
    <row r="152" spans="1:38"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row>
    <row r="153" spans="1:38"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row>
    <row r="154" spans="1:38"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row>
    <row r="155" spans="1:38"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row>
    <row r="156" spans="1:38"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row>
    <row r="157" spans="1:38"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row>
    <row r="158" spans="1:38"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row>
    <row r="159" spans="1:38"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row>
    <row r="160" spans="1:38"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row>
    <row r="161" spans="1:38"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row>
    <row r="162" spans="1:38"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row>
    <row r="163" spans="1:38"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row>
    <row r="164" spans="1:38"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row>
    <row r="165" spans="1:38"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row>
    <row r="166" spans="1:38"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row>
    <row r="167" spans="1:38"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row>
    <row r="168" spans="1:38"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row>
    <row r="169" spans="1:38"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row>
    <row r="170" spans="1:38"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row>
    <row r="171" spans="1:38"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row>
    <row r="172" spans="1:38"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row>
    <row r="173" spans="1:38"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row>
    <row r="174" spans="1:38"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row>
    <row r="175" spans="1:38"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row>
    <row r="176" spans="1:38"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row>
    <row r="177" spans="1:38"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row>
    <row r="178" spans="1:38"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row>
    <row r="179" spans="1:38"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row>
    <row r="180" spans="1:38"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row>
    <row r="181" spans="1:38"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row>
    <row r="182" spans="1:38"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row>
    <row r="183" spans="1:38"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row>
    <row r="184" spans="1:38"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row>
    <row r="185" spans="1:38"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row>
    <row r="186" spans="1:38"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row>
    <row r="187" spans="1:38"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row>
    <row r="188" spans="1:38"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row>
    <row r="189" spans="1:38"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row>
    <row r="190" spans="1:38"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row>
    <row r="191" spans="1:38"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row>
    <row r="192" spans="1:38"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row>
    <row r="193" spans="1:38"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row>
    <row r="194" spans="1:38"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row>
    <row r="195" spans="1:38"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row>
    <row r="196" spans="1:38"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row>
    <row r="197" spans="1:38"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row>
    <row r="198" spans="1:38"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row>
    <row r="199" spans="1:38"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row>
    <row r="200" spans="1:38"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row>
    <row r="201" spans="1:38"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row>
    <row r="202" spans="1:38"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row>
    <row r="203" spans="1:38"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row>
    <row r="204" spans="1:38"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row>
    <row r="205" spans="1:38"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row>
    <row r="206" spans="1:38"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row>
    <row r="207" spans="1:38"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row>
    <row r="208" spans="1:38"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row>
    <row r="209" spans="1:38"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row>
    <row r="210" spans="1:38"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row>
    <row r="211" spans="1:38"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row>
    <row r="212" spans="1:38"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row>
    <row r="213" spans="1:38"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row>
    <row r="214" spans="1:38"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row>
    <row r="215" spans="1:38"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row>
    <row r="216" spans="1:38"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row>
    <row r="217" spans="1:38"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row>
    <row r="218" spans="1:38"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row>
    <row r="219" spans="1:38"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row>
    <row r="220" spans="1:38"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row>
    <row r="221" spans="1:38"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row>
    <row r="222" spans="1:38"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row>
    <row r="223" spans="1:38"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row>
    <row r="224" spans="1:38"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row>
    <row r="225" spans="1:38"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row>
    <row r="226" spans="1:38"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row>
    <row r="227" spans="1:38"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row>
    <row r="228" spans="1:38"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row>
    <row r="229" spans="1:38"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row>
    <row r="230" spans="1:38"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row>
    <row r="231" spans="1:38"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row>
    <row r="232" spans="1:38"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row>
    <row r="233" spans="1:38"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row>
    <row r="234" spans="1:38"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row>
    <row r="235" spans="1:38"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row>
    <row r="236" spans="1:38"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row>
    <row r="237" spans="1:38"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row>
    <row r="238" spans="1:38"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row>
    <row r="239" spans="1:38"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row>
    <row r="240" spans="1:38"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row>
    <row r="241" spans="1:38"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row>
    <row r="242" spans="1:38"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row>
    <row r="243" spans="1:38"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row>
    <row r="244" spans="1:38"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row>
    <row r="245" spans="1:38"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row>
    <row r="246" spans="1:38"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row>
    <row r="247" spans="1:38"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row>
    <row r="248" spans="1:38"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row>
    <row r="249" spans="1:38"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row>
    <row r="250" spans="1:38"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row>
    <row r="251" spans="1:38"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row>
    <row r="252" spans="1:38"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row>
    <row r="253" spans="1:38"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row>
    <row r="254" spans="1:38"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row>
    <row r="255" spans="1:38"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row>
    <row r="256" spans="1:38"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row>
    <row r="257" spans="1:38"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row>
    <row r="258" spans="1:38"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row>
    <row r="259" spans="1:38"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row>
    <row r="260" spans="1:38"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row>
    <row r="261" spans="1:38"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row>
    <row r="262" spans="1:38"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row>
    <row r="263" spans="1:38"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row>
    <row r="264" spans="1:38"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row>
    <row r="265" spans="1:38"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row>
    <row r="266" spans="1:38"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row>
    <row r="267" spans="1:38"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row>
    <row r="268" spans="1:38"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row>
    <row r="269" spans="1:38"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row>
    <row r="270" spans="1:38"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row>
    <row r="271" spans="1:38"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row>
    <row r="272" spans="1:38"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row>
    <row r="273" spans="1:38"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row>
    <row r="274" spans="1:38"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row>
    <row r="275" spans="1:38"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row>
    <row r="276" spans="1:38"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row>
    <row r="277" spans="1:38"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row>
    <row r="278" spans="1:38"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row>
    <row r="279" spans="1:38"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row>
    <row r="280" spans="1:38"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row>
    <row r="281" spans="1:38"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row>
    <row r="282" spans="1:38"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row>
    <row r="283" spans="1:38"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row>
    <row r="284" spans="1:38"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row>
    <row r="285" spans="1:38"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row>
    <row r="286" spans="1:38"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row>
    <row r="287" spans="1:38"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row>
    <row r="288" spans="1:38"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row>
    <row r="289" spans="1:38"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row>
    <row r="290" spans="1:38"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row>
    <row r="291" spans="1:38"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row>
    <row r="292" spans="1:38"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row>
    <row r="293" spans="1:38"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row>
    <row r="294" spans="1:38"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row>
    <row r="295" spans="1:38"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row>
    <row r="296" spans="1:38"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row>
    <row r="297" spans="1:38"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row>
    <row r="298" spans="1:38"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row>
    <row r="299" spans="1:38"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row>
    <row r="300" spans="1:38"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row>
    <row r="301" spans="1:38"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row>
    <row r="302" spans="1:38"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row>
    <row r="303" spans="1:38"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row>
    <row r="304" spans="1:38"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row>
    <row r="305" spans="1:38"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row>
    <row r="306" spans="1:38"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row>
    <row r="307" spans="1:38"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row>
    <row r="308" spans="1:38"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row>
    <row r="309" spans="1:38"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row>
    <row r="310" spans="1:38"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row>
    <row r="311" spans="1:38"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row>
    <row r="312" spans="1:38"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row>
    <row r="313" spans="1:38"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row>
    <row r="314" spans="1:38"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row>
    <row r="315" spans="1:38"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row>
    <row r="316" spans="1:38"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row>
    <row r="317" spans="1:38"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row>
    <row r="318" spans="1:38"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row>
    <row r="319" spans="1:38"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row>
    <row r="320" spans="1:38"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row>
    <row r="321" spans="1:38"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row>
    <row r="322" spans="1:38"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row>
    <row r="323" spans="1:38"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row>
    <row r="324" spans="1:38"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row>
    <row r="325" spans="1:38"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row>
    <row r="326" spans="1:38"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row>
    <row r="327" spans="1:38"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row>
    <row r="328" spans="1:38"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row>
    <row r="329" spans="1:38"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row>
    <row r="330" spans="1:38"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row>
    <row r="331" spans="1:38"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row>
    <row r="332" spans="1:38"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row>
    <row r="333" spans="1:38"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row>
    <row r="334" spans="1:38"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row>
    <row r="335" spans="1:38"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row>
    <row r="336" spans="1:38"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row>
    <row r="337" spans="1:38"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row>
    <row r="338" spans="1:38"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row>
    <row r="339" spans="1:38"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row>
    <row r="340" spans="1:38"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row>
    <row r="341" spans="1:38"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row>
    <row r="342" spans="1:38"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row>
    <row r="343" spans="1:38"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row>
    <row r="344" spans="1:38"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row>
    <row r="345" spans="1:38"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row>
    <row r="346" spans="1:38"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row>
    <row r="347" spans="1:38"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row>
    <row r="348" spans="1:38"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row>
    <row r="349" spans="1:38"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row>
    <row r="350" spans="1:38"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row>
    <row r="351" spans="1:38"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row>
    <row r="352" spans="1:38"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row>
    <row r="353" spans="1:38"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row>
    <row r="354" spans="1:38"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row>
    <row r="355" spans="1:38"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row>
    <row r="356" spans="1:38"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row>
    <row r="357" spans="1:38"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row>
    <row r="358" spans="1:38"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row>
    <row r="359" spans="1:38"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row>
    <row r="360" spans="1:38"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row>
    <row r="361" spans="1:38"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row>
    <row r="362" spans="1:38"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row>
    <row r="363" spans="1:38"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row>
    <row r="364" spans="1:38"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row>
    <row r="365" spans="1:38"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row>
    <row r="366" spans="1:38"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row>
    <row r="367" spans="1:38"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row>
    <row r="368" spans="1:38"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row>
    <row r="369" spans="1:38"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row>
    <row r="370" spans="1:38"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row>
    <row r="371" spans="1:38"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row>
    <row r="372" spans="1:38"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row>
    <row r="373" spans="1:38"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row>
    <row r="374" spans="1:38"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row>
    <row r="375" spans="1:38"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row>
    <row r="376" spans="1:38"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row>
    <row r="377" spans="1:38"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row>
    <row r="378" spans="1:38"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row>
    <row r="379" spans="1:38"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row>
    <row r="380" spans="1:38"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row>
    <row r="381" spans="1:38"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row>
    <row r="382" spans="1:38"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row>
    <row r="383" spans="1:38"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row>
    <row r="384" spans="1:38"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row>
    <row r="385" spans="1:38"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row>
    <row r="386" spans="1:38"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row>
    <row r="387" spans="1:38"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row>
    <row r="388" spans="1:38"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row>
    <row r="389" spans="1:38"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row>
    <row r="390" spans="1:38"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row>
    <row r="391" spans="1:38"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row>
    <row r="392" spans="1:38"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row>
    <row r="393" spans="1:38"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row>
    <row r="394" spans="1:38"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row>
    <row r="395" spans="1:38"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row>
    <row r="396" spans="1:38"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row>
    <row r="397" spans="1:38"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row>
    <row r="398" spans="1:38"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row>
    <row r="399" spans="1:38"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row>
    <row r="400" spans="1:38"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row>
    <row r="401" spans="1:38"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row>
    <row r="402" spans="1:38"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row>
    <row r="403" spans="1:38"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row>
    <row r="404" spans="1:38"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row>
    <row r="405" spans="1:38"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row>
    <row r="406" spans="1:38"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row>
    <row r="407" spans="1:38"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row>
    <row r="408" spans="1:38"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row>
    <row r="409" spans="1:38"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row>
    <row r="410" spans="1:38"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row>
    <row r="411" spans="1:38"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row>
    <row r="412" spans="1:38"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row>
    <row r="413" spans="1:38"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row>
    <row r="414" spans="1:38"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row>
    <row r="415" spans="1:38"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row>
    <row r="416" spans="1:38"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row>
    <row r="417" spans="1:38"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row>
    <row r="418" spans="1:38"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row>
    <row r="419" spans="1:38"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row>
    <row r="420" spans="1:38"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row>
    <row r="421" spans="1:38"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row>
    <row r="422" spans="1:38"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row>
    <row r="423" spans="1:38"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row>
    <row r="424" spans="1:38"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row>
    <row r="425" spans="1:38"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row>
    <row r="426" spans="1:38"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row>
    <row r="427" spans="1:38"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row>
    <row r="428" spans="1:38"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row>
    <row r="429" spans="1:38"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row>
    <row r="430" spans="1:38"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row>
    <row r="431" spans="1:38"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row>
    <row r="432" spans="1:38"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row>
    <row r="433" spans="1:38"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row>
    <row r="434" spans="1:38"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row>
    <row r="435" spans="1:38"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row>
    <row r="436" spans="1:38"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row>
    <row r="437" spans="1:38"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row>
    <row r="438" spans="1:38"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row>
    <row r="439" spans="1:38"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row>
    <row r="440" spans="1:38"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row>
    <row r="441" spans="1:38"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row>
    <row r="442" spans="1:38"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row>
    <row r="443" spans="1:38"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row>
    <row r="444" spans="1:38"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row>
    <row r="445" spans="1:38"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row>
    <row r="446" spans="1:38"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row>
    <row r="447" spans="1:38"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row>
    <row r="448" spans="1:38"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row>
    <row r="449" spans="1:38"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row>
    <row r="450" spans="1:38"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row>
    <row r="451" spans="1:38"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row>
    <row r="452" spans="1:38"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row>
    <row r="453" spans="1:38"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row>
    <row r="454" spans="1:38"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row>
    <row r="455" spans="1:38"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row>
    <row r="456" spans="1:38"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row>
    <row r="457" spans="1:38"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row>
    <row r="458" spans="1:38"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row>
    <row r="459" spans="1:38"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row>
    <row r="460" spans="1:38"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row>
    <row r="461" spans="1:38"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row>
    <row r="462" spans="1:38"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row>
    <row r="463" spans="1:38"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row>
    <row r="464" spans="1:38"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row>
    <row r="465" spans="1:38"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row>
    <row r="466" spans="1:38"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row>
    <row r="467" spans="1:38"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row>
    <row r="468" spans="1:38"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row>
    <row r="469" spans="1:38"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row>
    <row r="470" spans="1:38"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row>
    <row r="471" spans="1:38"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row>
    <row r="472" spans="1:38"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row>
    <row r="473" spans="1:38"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row>
    <row r="474" spans="1:38"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row>
    <row r="475" spans="1:38"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row>
    <row r="476" spans="1:38"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row>
    <row r="477" spans="1:38"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row>
    <row r="478" spans="1:38"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row>
    <row r="479" spans="1:38"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row>
    <row r="480" spans="1:38"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row>
    <row r="481" spans="1:38"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row>
    <row r="482" spans="1:38"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row>
    <row r="483" spans="1:38"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row>
    <row r="484" spans="1:38"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row>
    <row r="485" spans="1:38"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row>
    <row r="486" spans="1:38"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row>
    <row r="487" spans="1:38"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row>
    <row r="488" spans="1:38"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row>
    <row r="489" spans="1:38"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row>
    <row r="490" spans="1:38"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row>
    <row r="491" spans="1:38"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row>
    <row r="492" spans="1:38"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row>
    <row r="493" spans="1:38"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row>
    <row r="494" spans="1:38"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row>
    <row r="495" spans="1:38"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row>
    <row r="496" spans="1:38"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row>
    <row r="497" spans="1:38"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row>
    <row r="498" spans="1:38"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row>
    <row r="499" spans="1:38"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row>
    <row r="500" spans="1:38"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row>
    <row r="501" spans="1:38"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row>
    <row r="502" spans="1:38"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row>
    <row r="503" spans="1:38"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row>
    <row r="504" spans="1:38"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row>
    <row r="505" spans="1:38"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row>
    <row r="506" spans="1:38"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row>
    <row r="507" spans="1:38"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row>
    <row r="508" spans="1:38"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row>
    <row r="509" spans="1:38"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row>
    <row r="510" spans="1:38"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row>
    <row r="511" spans="1:38"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row>
    <row r="512" spans="1:38"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row>
    <row r="513" spans="1:38"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row>
    <row r="514" spans="1:38"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row>
    <row r="515" spans="1:38"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row>
    <row r="516" spans="1:38"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row>
    <row r="517" spans="1:38"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row>
    <row r="518" spans="1:38"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row>
    <row r="519" spans="1:38"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row>
    <row r="520" spans="1:38"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row>
    <row r="521" spans="1:38"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row>
    <row r="522" spans="1:38"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row>
    <row r="523" spans="1:38"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row>
    <row r="524" spans="1:38"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row>
    <row r="525" spans="1:38"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row>
    <row r="526" spans="1:38"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row>
    <row r="527" spans="1:38"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row>
    <row r="528" spans="1:38"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row>
    <row r="529" spans="1:38"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row>
    <row r="530" spans="1:38"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row>
    <row r="531" spans="1:38"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row>
    <row r="532" spans="1:38"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row>
    <row r="533" spans="1:38"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row>
    <row r="534" spans="1:38"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row>
    <row r="535" spans="1:38"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row>
    <row r="536" spans="1:38"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row>
    <row r="537" spans="1:38"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row>
    <row r="538" spans="1:38"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row>
    <row r="539" spans="1:38"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row>
    <row r="540" spans="1:38"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row>
    <row r="541" spans="1:38"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row>
    <row r="542" spans="1:38"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row>
    <row r="543" spans="1:38"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row>
    <row r="544" spans="1:38"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row>
    <row r="545" spans="1:38"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row>
    <row r="546" spans="1:38"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row>
    <row r="547" spans="1:38"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row>
    <row r="548" spans="1:38"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row>
    <row r="549" spans="1:38"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row>
    <row r="550" spans="1:38"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row>
    <row r="551" spans="1:38"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row>
    <row r="552" spans="1:38"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row>
    <row r="553" spans="1:38"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row>
    <row r="554" spans="1:38"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row>
    <row r="555" spans="1:38"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row>
    <row r="556" spans="1:38"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row>
    <row r="557" spans="1:38"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row>
    <row r="558" spans="1:38"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row>
    <row r="559" spans="1:38"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row>
    <row r="560" spans="1:38"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row>
    <row r="561" spans="1:38"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row>
    <row r="562" spans="1:38"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row>
    <row r="563" spans="1:38"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row>
    <row r="564" spans="1:38"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row>
    <row r="565" spans="1:38"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row>
    <row r="566" spans="1:38"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row>
    <row r="567" spans="1:38"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row>
    <row r="568" spans="1:38"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row>
    <row r="569" spans="1:38"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row>
    <row r="570" spans="1:38"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row>
    <row r="571" spans="1:38"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row>
    <row r="572" spans="1:38"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row>
    <row r="573" spans="1:38"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row>
    <row r="574" spans="1:38"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row>
    <row r="575" spans="1:38"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row>
    <row r="576" spans="1:38"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row>
    <row r="577" spans="1:38"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row>
    <row r="578" spans="1:38"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row>
    <row r="579" spans="1:38"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row>
    <row r="580" spans="1:38"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row>
    <row r="581" spans="1:38"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row>
    <row r="582" spans="1:38"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row>
    <row r="583" spans="1:38"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row>
    <row r="584" spans="1:38"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row>
    <row r="585" spans="1:38"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row>
    <row r="586" spans="1:38"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row>
    <row r="587" spans="1:38"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row>
    <row r="588" spans="1:38"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row>
    <row r="589" spans="1:38"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row>
    <row r="590" spans="1:38"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row>
    <row r="591" spans="1:38"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row>
    <row r="592" spans="1:38"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row>
    <row r="593" spans="1:38"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row>
    <row r="594" spans="1:38"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row>
    <row r="595" spans="1:38"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row>
    <row r="596" spans="1:38"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row>
    <row r="597" spans="1:38"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row>
    <row r="598" spans="1:38"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row>
    <row r="599" spans="1:38"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row>
    <row r="600" spans="1:38"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row>
    <row r="601" spans="1:38"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row>
    <row r="602" spans="1:38"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row>
    <row r="603" spans="1:38"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row>
    <row r="604" spans="1:38"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row>
    <row r="605" spans="1:38"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row>
    <row r="606" spans="1:38"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row>
    <row r="607" spans="1:38"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row>
    <row r="608" spans="1:38"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row>
    <row r="609" spans="1:38"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row>
    <row r="610" spans="1:38"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row>
    <row r="611" spans="1:38"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row>
    <row r="612" spans="1:38"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row>
    <row r="613" spans="1:38"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row>
    <row r="614" spans="1:38"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row>
    <row r="615" spans="1:38"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row>
    <row r="616" spans="1:38"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row>
    <row r="617" spans="1:38"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row>
    <row r="618" spans="1:38"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row>
    <row r="619" spans="1:38"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row>
    <row r="620" spans="1:38"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row>
    <row r="621" spans="1:38"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row>
    <row r="622" spans="1:38"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row>
    <row r="623" spans="1:38"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row>
    <row r="624" spans="1:38"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row>
    <row r="625" spans="1:38"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row>
    <row r="626" spans="1:38"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row>
    <row r="627" spans="1:38"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row>
    <row r="628" spans="1:38"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row>
    <row r="629" spans="1:38"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row>
    <row r="630" spans="1:38"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row>
    <row r="631" spans="1:38"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row>
    <row r="632" spans="1:38"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row>
    <row r="633" spans="1:38"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row>
    <row r="634" spans="1:38"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row>
    <row r="635" spans="1:38"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row>
    <row r="636" spans="1:38"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row>
    <row r="637" spans="1:38"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row>
    <row r="638" spans="1:38"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row>
    <row r="639" spans="1:38"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row>
    <row r="640" spans="1:38"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row>
    <row r="641" spans="1:38"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row>
    <row r="642" spans="1:38"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row>
    <row r="643" spans="1:38"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row>
    <row r="644" spans="1:38"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row>
    <row r="645" spans="1:38"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row>
    <row r="646" spans="1:38"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row>
    <row r="647" spans="1:38"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row>
    <row r="648" spans="1:38"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row>
    <row r="649" spans="1:38"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row>
    <row r="650" spans="1:38"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row>
    <row r="651" spans="1:38"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row>
    <row r="652" spans="1:38"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row>
    <row r="653" spans="1:38"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row>
    <row r="654" spans="1:38"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row>
    <row r="655" spans="1:38"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row>
    <row r="656" spans="1:38"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row>
    <row r="657" spans="1:38"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row>
    <row r="658" spans="1:38"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row>
    <row r="659" spans="1:38"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row>
    <row r="660" spans="1:38"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row>
    <row r="661" spans="1:38"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row>
    <row r="662" spans="1:38"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row>
    <row r="663" spans="1:38"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row>
    <row r="664" spans="1:38"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row>
    <row r="665" spans="1:38"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row>
    <row r="666" spans="1:38"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row>
    <row r="667" spans="1:38"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row>
    <row r="668" spans="1:38"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row>
    <row r="669" spans="1:38"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row>
    <row r="670" spans="1:38"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row>
    <row r="671" spans="1:38"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row>
    <row r="672" spans="1:38"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row>
    <row r="673" spans="1:38"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row>
    <row r="674" spans="1:38"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row>
    <row r="675" spans="1:38"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row>
    <row r="676" spans="1:38"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row>
    <row r="677" spans="1:38"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row>
    <row r="678" spans="1:38"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row>
    <row r="679" spans="1:38"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row>
    <row r="680" spans="1:38"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row>
    <row r="681" spans="1:38"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row>
    <row r="682" spans="1:38"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row>
    <row r="683" spans="1:38"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row>
    <row r="684" spans="1:38"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row>
    <row r="685" spans="1:38"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row>
    <row r="686" spans="1:38"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row>
    <row r="687" spans="1:38"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row>
    <row r="688" spans="1:38"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row>
    <row r="689" spans="1:38"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row>
    <row r="690" spans="1:38"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row>
    <row r="691" spans="1:38"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row>
    <row r="692" spans="1:38"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row>
    <row r="693" spans="1:38"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row>
    <row r="694" spans="1:38"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row>
    <row r="695" spans="1:38"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row>
    <row r="696" spans="1:38"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row>
    <row r="697" spans="1:38"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row>
    <row r="698" spans="1:38"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row>
    <row r="699" spans="1:38"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row>
    <row r="700" spans="1:38"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row>
    <row r="701" spans="1:38"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row>
    <row r="702" spans="1:38"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row>
    <row r="703" spans="1:38"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row>
    <row r="704" spans="1:38"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row>
    <row r="705" spans="1:38"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row>
    <row r="706" spans="1:38"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row>
    <row r="707" spans="1:38"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row>
    <row r="708" spans="1:38"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row>
    <row r="709" spans="1:38"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row>
    <row r="710" spans="1:38"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row>
    <row r="711" spans="1:38"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row>
    <row r="712" spans="1:38"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row>
    <row r="713" spans="1:38"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row>
    <row r="714" spans="1:38"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row>
    <row r="715" spans="1:38"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row>
    <row r="716" spans="1:38"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row>
    <row r="717" spans="1:38"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row>
    <row r="718" spans="1:38"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row>
    <row r="719" spans="1:38"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row>
    <row r="720" spans="1:38"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row>
    <row r="721" spans="1:38"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row>
    <row r="722" spans="1:38"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row>
    <row r="723" spans="1:38"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row>
    <row r="724" spans="1:38"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row>
    <row r="725" spans="1:38"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row>
    <row r="726" spans="1:38"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row>
    <row r="727" spans="1:38"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row>
    <row r="728" spans="1:38"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row>
    <row r="729" spans="1:38"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row>
    <row r="730" spans="1:38"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row>
    <row r="731" spans="1:38"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row>
    <row r="732" spans="1:38"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row>
    <row r="733" spans="1:38"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row>
    <row r="734" spans="1:38"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row>
    <row r="735" spans="1:38"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row>
    <row r="736" spans="1:38"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row>
    <row r="737" spans="1:38"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row>
    <row r="738" spans="1:38"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row>
    <row r="739" spans="1:38"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row>
    <row r="740" spans="1:38"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row>
    <row r="741" spans="1:38"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row>
    <row r="742" spans="1:38"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row>
    <row r="743" spans="1:38"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row>
    <row r="744" spans="1:38"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row>
    <row r="745" spans="1:38"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row>
    <row r="746" spans="1:38"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row>
    <row r="747" spans="1:38"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row>
    <row r="748" spans="1:38"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row>
    <row r="749" spans="1:38"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row>
    <row r="750" spans="1:38"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row>
    <row r="751" spans="1:38"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row>
    <row r="752" spans="1:38"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row>
    <row r="753" spans="1:38"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row>
    <row r="754" spans="1:38"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row>
    <row r="755" spans="1:38"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row>
    <row r="756" spans="1:38"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row>
    <row r="757" spans="1:38"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row>
    <row r="758" spans="1:38"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row>
    <row r="759" spans="1:38"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row>
    <row r="760" spans="1:38"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row>
    <row r="761" spans="1:38"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row>
    <row r="762" spans="1:38"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row>
    <row r="763" spans="1:38"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row>
    <row r="764" spans="1:38"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row>
    <row r="765" spans="1:38"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row>
    <row r="766" spans="1:38"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row>
    <row r="767" spans="1:38"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row>
    <row r="768" spans="1:38"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row>
    <row r="769" spans="1:38"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row>
    <row r="770" spans="1:38"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row>
    <row r="771" spans="1:38"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row>
    <row r="772" spans="1:38"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row>
    <row r="773" spans="1:38"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row>
    <row r="774" spans="1:38"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row>
    <row r="775" spans="1:38"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row>
    <row r="776" spans="1:38"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row>
    <row r="777" spans="1:38"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row>
    <row r="778" spans="1:38"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row>
    <row r="779" spans="1:38"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row>
    <row r="780" spans="1:38"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row>
    <row r="781" spans="1:38"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row>
    <row r="782" spans="1:38"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row>
    <row r="783" spans="1:38"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row>
    <row r="784" spans="1:38"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row>
    <row r="785" spans="1:38"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row>
    <row r="786" spans="1:38"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row>
    <row r="787" spans="1:38"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row>
    <row r="788" spans="1:38"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row>
    <row r="789" spans="1:38"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row>
    <row r="790" spans="1:38"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row>
    <row r="791" spans="1:38"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row>
    <row r="792" spans="1:38"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row>
    <row r="793" spans="1:38"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row>
    <row r="794" spans="1:38"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row>
    <row r="795" spans="1:38"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row>
    <row r="796" spans="1:38"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row>
    <row r="797" spans="1:38"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row>
    <row r="798" spans="1:38"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row>
    <row r="799" spans="1:38"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row>
    <row r="800" spans="1:38"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row>
    <row r="801" spans="1:38"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row>
    <row r="802" spans="1:38"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row>
    <row r="803" spans="1:38"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row>
    <row r="804" spans="1:38"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row>
    <row r="805" spans="1:38"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row>
    <row r="806" spans="1:38"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row>
    <row r="807" spans="1:38"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row>
    <row r="808" spans="1:38"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row>
    <row r="809" spans="1:38"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row>
    <row r="810" spans="1:38"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row>
    <row r="811" spans="1:38"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row>
    <row r="812" spans="1:38"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row>
    <row r="813" spans="1:38"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row>
    <row r="814" spans="1:38"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row>
    <row r="815" spans="1:38"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row>
    <row r="816" spans="1:38"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row>
    <row r="817" spans="1:38"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row>
    <row r="818" spans="1:38"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row>
    <row r="819" spans="1:38"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row>
    <row r="820" spans="1:38"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row>
    <row r="821" spans="1:38"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row>
    <row r="822" spans="1:38"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row>
    <row r="823" spans="1:38"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row>
    <row r="824" spans="1:38"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row>
    <row r="825" spans="1:38"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row>
    <row r="826" spans="1:38"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row>
    <row r="827" spans="1:38"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row>
    <row r="828" spans="1:38"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row>
    <row r="829" spans="1:38"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row>
    <row r="830" spans="1:38"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row>
    <row r="831" spans="1:38"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row>
    <row r="832" spans="1:38"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row>
    <row r="833" spans="1:38"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row>
    <row r="834" spans="1:38"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row>
    <row r="835" spans="1:38"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row>
    <row r="836" spans="1:38"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row>
    <row r="837" spans="1:38"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row>
    <row r="838" spans="1:38"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row>
    <row r="839" spans="1:38"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row>
    <row r="840" spans="1:38"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row>
    <row r="841" spans="1:38"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row>
    <row r="842" spans="1:38"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row>
    <row r="843" spans="1:38"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row>
    <row r="844" spans="1:38"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row>
    <row r="845" spans="1:38"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row>
    <row r="846" spans="1:38"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row>
    <row r="847" spans="1:38"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row>
    <row r="848" spans="1:38"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row>
    <row r="849" spans="1:38"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row>
    <row r="850" spans="1:38"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row>
    <row r="851" spans="1:38"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row>
    <row r="852" spans="1:38"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row>
    <row r="853" spans="1:38"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row>
    <row r="854" spans="1:38"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row>
    <row r="855" spans="1:38"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row>
    <row r="856" spans="1:38"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row>
    <row r="857" spans="1:38"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row>
    <row r="858" spans="1:38"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row>
    <row r="859" spans="1:38"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row>
    <row r="860" spans="1:38"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row>
    <row r="861" spans="1:38"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row>
    <row r="862" spans="1:38"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row>
    <row r="863" spans="1:38"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row>
    <row r="864" spans="1:38"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row>
    <row r="865" spans="1:38"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row>
    <row r="866" spans="1:38"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row>
    <row r="867" spans="1:38"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row>
    <row r="868" spans="1:38"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row>
    <row r="869" spans="1:38"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row>
    <row r="870" spans="1:38"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row>
    <row r="871" spans="1:38"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row>
    <row r="872" spans="1:38"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row>
    <row r="873" spans="1:38"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row>
    <row r="874" spans="1:38"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row>
    <row r="875" spans="1:38"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row>
    <row r="876" spans="1:38"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row>
    <row r="877" spans="1:38"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row>
    <row r="878" spans="1:38"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row>
    <row r="879" spans="1:38"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row>
    <row r="880" spans="1:38"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row>
    <row r="881" spans="1:38"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row>
    <row r="882" spans="1:38"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row>
    <row r="883" spans="1:38"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row>
    <row r="884" spans="1:38"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row>
    <row r="885" spans="1:38"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row>
    <row r="886" spans="1:38"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row>
    <row r="887" spans="1:38"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row>
    <row r="888" spans="1:38"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row>
    <row r="889" spans="1:38"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row>
    <row r="890" spans="1:38"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row>
    <row r="891" spans="1:38"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row>
    <row r="892" spans="1:38"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row>
    <row r="893" spans="1:38"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row>
    <row r="894" spans="1:38"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row>
    <row r="895" spans="1:38"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row>
    <row r="896" spans="1:38"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row>
    <row r="897" spans="1:38"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row>
    <row r="898" spans="1:38"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row>
    <row r="899" spans="1:38"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row>
    <row r="900" spans="1:38"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row>
    <row r="901" spans="1:38"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row>
    <row r="902" spans="1:38"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row>
    <row r="903" spans="1:38"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row>
    <row r="904" spans="1:38"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row>
    <row r="905" spans="1:38"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row>
    <row r="906" spans="1:38"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row>
    <row r="907" spans="1:38"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row>
    <row r="908" spans="1:38"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row>
    <row r="909" spans="1:38"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row>
    <row r="910" spans="1:38"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row>
    <row r="911" spans="1:38"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row>
    <row r="912" spans="1:38"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row>
    <row r="913" spans="1:38"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row>
    <row r="914" spans="1:38"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row>
    <row r="915" spans="1:38"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row>
    <row r="916" spans="1:38"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row>
    <row r="917" spans="1:38"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row>
    <row r="918" spans="1:38"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row>
    <row r="919" spans="1:38"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row>
    <row r="920" spans="1:38"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row>
    <row r="921" spans="1:38"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row>
    <row r="922" spans="1:38"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row>
    <row r="923" spans="1:38"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row>
    <row r="924" spans="1:38"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row>
    <row r="925" spans="1:38"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row>
    <row r="926" spans="1:38"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row>
    <row r="927" spans="1:38"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row>
    <row r="928" spans="1:38"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row>
    <row r="929" spans="1:38"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row>
    <row r="930" spans="1:38"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row>
    <row r="931" spans="1:38"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row>
    <row r="932" spans="1:38"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row>
    <row r="933" spans="1:38"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row>
    <row r="934" spans="1:38"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row>
    <row r="935" spans="1:38"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row>
    <row r="936" spans="1:38"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row>
    <row r="937" spans="1:38"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row>
    <row r="938" spans="1:38"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row>
    <row r="939" spans="1:38"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row>
    <row r="940" spans="1:38"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row>
    <row r="941" spans="1:38"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row>
    <row r="942" spans="1:38"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row>
    <row r="943" spans="1:38"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row>
    <row r="944" spans="1:38"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row>
    <row r="945" spans="1:38"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row>
    <row r="946" spans="1:38"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row>
    <row r="947" spans="1:38"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row>
    <row r="948" spans="1:38"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row>
    <row r="949" spans="1:38"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row>
    <row r="950" spans="1:38"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row>
    <row r="951" spans="1:38"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row>
    <row r="952" spans="1:38"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row>
    <row r="953" spans="1:38"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row>
    <row r="954" spans="1:38"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row>
    <row r="955" spans="1:38"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row>
    <row r="956" spans="1:38"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row>
    <row r="957" spans="1:38"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row>
    <row r="958" spans="1:38"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row>
    <row r="959" spans="1:38"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row>
    <row r="960" spans="1:38"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row>
    <row r="961" spans="1:38"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row>
    <row r="962" spans="1:38"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row>
    <row r="963" spans="1:38"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row>
    <row r="964" spans="1:38"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row>
    <row r="965" spans="1:38"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row>
    <row r="966" spans="1:38"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row>
    <row r="967" spans="1:38"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row>
    <row r="968" spans="1:38"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row>
    <row r="969" spans="1:38"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row>
    <row r="970" spans="1:38"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row>
    <row r="971" spans="1:38"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row>
    <row r="972" spans="1:38"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row>
    <row r="973" spans="1:38"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row>
    <row r="974" spans="1:38"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row>
    <row r="975" spans="1:38"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row>
    <row r="976" spans="1:38"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row>
    <row r="977" spans="1:38"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row>
    <row r="978" spans="1:38"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row>
    <row r="979" spans="1:38"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row>
    <row r="980" spans="1:38"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row>
    <row r="981" spans="1:38"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row>
    <row r="982" spans="1:38"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row>
    <row r="983" spans="1:38"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row>
    <row r="984" spans="1:38"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row>
    <row r="985" spans="1:38"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row>
    <row r="986" spans="1:38"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row>
    <row r="987" spans="1:38"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row>
    <row r="988" spans="1:38"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row>
    <row r="989" spans="1:38"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row>
    <row r="990" spans="1:38"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row>
    <row r="991" spans="1:38"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row>
    <row r="992" spans="1:38"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row>
    <row r="993" spans="1:38"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row>
    <row r="994" spans="1:38"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row>
    <row r="995" spans="1:38"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row>
    <row r="996" spans="1:38"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row>
    <row r="997" spans="1:38"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row>
    <row r="998" spans="1:38"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row>
    <row r="999" spans="1:38"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row>
    <row r="1000" spans="1:38"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row>
    <row r="1001" spans="1:38" ht="15.75" customHeight="1"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row>
    <row r="1002" spans="1:38" ht="15.75" customHeight="1"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row>
    <row r="1003" spans="1:38" ht="15.75" customHeight="1"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row>
    <row r="1004" spans="1:38" ht="15.75" customHeight="1"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row>
  </sheetData>
  <mergeCells count="33">
    <mergeCell ref="C51:T51"/>
    <mergeCell ref="C57:N57"/>
    <mergeCell ref="C60:N60"/>
    <mergeCell ref="C61:N61"/>
    <mergeCell ref="C63:D63"/>
    <mergeCell ref="E63:N63"/>
    <mergeCell ref="C53:M53"/>
    <mergeCell ref="E64:N64"/>
    <mergeCell ref="C71:D71"/>
    <mergeCell ref="C72:D72"/>
    <mergeCell ref="E65:N65"/>
    <mergeCell ref="E66:N66"/>
    <mergeCell ref="E67:N67"/>
    <mergeCell ref="E68:N68"/>
    <mergeCell ref="E69:N69"/>
    <mergeCell ref="E70:N70"/>
    <mergeCell ref="E71:N71"/>
    <mergeCell ref="C64:D64"/>
    <mergeCell ref="C65:D65"/>
    <mergeCell ref="C66:D66"/>
    <mergeCell ref="C67:D67"/>
    <mergeCell ref="C68:D68"/>
    <mergeCell ref="E72:N72"/>
    <mergeCell ref="C78:N78"/>
    <mergeCell ref="C81:N81"/>
    <mergeCell ref="C75:D75"/>
    <mergeCell ref="C73:D73"/>
    <mergeCell ref="C74:D74"/>
    <mergeCell ref="C69:D69"/>
    <mergeCell ref="C70:D70"/>
    <mergeCell ref="E73:N73"/>
    <mergeCell ref="E74:N74"/>
    <mergeCell ref="E75:N75"/>
  </mergeCells>
  <phoneticPr fontId="31" type="noConversion"/>
  <pageMargins left="0.7" right="0.7" top="0.75" bottom="0.75"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sheetPr>
  <dimension ref="A1:AL1001"/>
  <sheetViews>
    <sheetView showGridLines="0" zoomScale="120" zoomScaleNormal="120" workbookViewId="0">
      <selection activeCell="C11" sqref="C11:J11"/>
    </sheetView>
  </sheetViews>
  <sheetFormatPr baseColWidth="10" defaultColWidth="14.5" defaultRowHeight="15" customHeight="1" x14ac:dyDescent="0.2"/>
  <cols>
    <col min="1" max="1" width="51.6640625" customWidth="1"/>
    <col min="2" max="2" width="1.33203125" customWidth="1"/>
    <col min="3" max="18" width="9.1640625" customWidth="1"/>
    <col min="19" max="19" width="9.33203125" customWidth="1"/>
    <col min="20" max="33" width="9.1640625" customWidth="1"/>
    <col min="34" max="34" width="9.33203125" customWidth="1"/>
    <col min="35" max="35" width="10.6640625" bestFit="1" customWidth="1"/>
    <col min="36" max="36" width="11" bestFit="1" customWidth="1"/>
    <col min="37" max="37" width="10.6640625" bestFit="1" customWidth="1"/>
    <col min="38" max="38" width="11" bestFit="1" customWidth="1"/>
  </cols>
  <sheetData>
    <row r="1" spans="1:38" ht="31.5" customHeight="1" x14ac:dyDescent="0.2">
      <c r="A1" s="10" t="s">
        <v>146</v>
      </c>
      <c r="B1" s="10"/>
      <c r="C1" s="11" t="s">
        <v>360</v>
      </c>
      <c r="D1" s="10"/>
      <c r="E1" s="10"/>
      <c r="F1" s="10"/>
      <c r="G1" s="10"/>
      <c r="H1" s="10"/>
      <c r="I1" s="10"/>
      <c r="J1" s="10"/>
      <c r="K1" s="10"/>
      <c r="L1" s="10"/>
      <c r="M1" s="10"/>
      <c r="N1" s="10"/>
      <c r="O1" s="10"/>
      <c r="P1" s="10"/>
      <c r="Q1" s="10"/>
      <c r="R1" s="10"/>
      <c r="S1" s="10"/>
      <c r="T1" s="10"/>
    </row>
    <row r="2" spans="1:38" ht="31.5" customHeight="1" x14ac:dyDescent="0.2">
      <c r="A2" s="10" t="s">
        <v>147</v>
      </c>
      <c r="B2" s="10"/>
      <c r="C2" s="11" t="s">
        <v>361</v>
      </c>
      <c r="D2" s="10"/>
      <c r="E2" s="10"/>
      <c r="F2" s="10"/>
      <c r="G2" s="10"/>
      <c r="H2" s="10"/>
      <c r="I2" s="10"/>
      <c r="J2" s="10"/>
      <c r="K2" s="10"/>
      <c r="L2" s="10"/>
      <c r="M2" s="10"/>
      <c r="N2" s="10"/>
      <c r="O2" s="10"/>
      <c r="P2" s="10"/>
      <c r="Q2" s="10"/>
      <c r="R2" s="10"/>
      <c r="S2" s="10"/>
      <c r="T2" s="10"/>
    </row>
    <row r="3" spans="1:38" ht="31.5" customHeight="1" x14ac:dyDescent="0.25">
      <c r="A3" s="12"/>
      <c r="B3" s="3"/>
      <c r="C3" s="13"/>
      <c r="D3" s="14"/>
      <c r="E3" s="14"/>
      <c r="F3" s="14"/>
      <c r="G3" s="14"/>
      <c r="H3" s="14"/>
      <c r="I3" s="14"/>
      <c r="J3" s="14"/>
      <c r="K3" s="14"/>
      <c r="L3" s="14"/>
      <c r="M3" s="14"/>
      <c r="N3" s="14"/>
      <c r="O3" s="3"/>
      <c r="P3" s="3"/>
      <c r="Q3" s="3"/>
      <c r="R3" s="3"/>
      <c r="S3" s="3"/>
      <c r="T3" s="3"/>
      <c r="U3" s="3"/>
      <c r="V3" s="3"/>
      <c r="W3" s="3"/>
      <c r="X3" s="3"/>
      <c r="Y3" s="3"/>
      <c r="Z3" s="3"/>
      <c r="AA3" s="3"/>
      <c r="AB3" s="3"/>
      <c r="AC3" s="3"/>
      <c r="AD3" s="3"/>
      <c r="AE3" s="3"/>
      <c r="AF3" s="3"/>
      <c r="AG3" s="3"/>
      <c r="AH3" s="3"/>
      <c r="AI3" s="3"/>
      <c r="AJ3" s="3"/>
      <c r="AK3" s="3"/>
      <c r="AL3" s="3"/>
    </row>
    <row r="4" spans="1:38" ht="19" x14ac:dyDescent="0.25">
      <c r="A4" s="15" t="s">
        <v>61</v>
      </c>
      <c r="B4" s="3"/>
      <c r="C4" s="13"/>
      <c r="D4" s="14"/>
      <c r="E4" s="14"/>
      <c r="F4" s="14"/>
      <c r="G4" s="14"/>
      <c r="H4" s="14"/>
      <c r="I4" s="14"/>
      <c r="J4" s="14"/>
      <c r="K4" s="14"/>
      <c r="L4" s="14"/>
      <c r="M4" s="14"/>
      <c r="N4" s="14"/>
      <c r="O4" s="3"/>
      <c r="P4" s="3"/>
      <c r="Q4" s="3"/>
      <c r="R4" s="3"/>
      <c r="S4" s="3"/>
      <c r="T4" s="3"/>
      <c r="U4" s="3"/>
      <c r="V4" s="3"/>
      <c r="W4" s="3"/>
      <c r="X4" s="3"/>
      <c r="Y4" s="3"/>
      <c r="Z4" s="3"/>
      <c r="AA4" s="3"/>
      <c r="AB4" s="3"/>
      <c r="AC4" s="3"/>
      <c r="AD4" s="3"/>
      <c r="AE4" s="3"/>
      <c r="AF4" s="3"/>
      <c r="AG4" s="3"/>
      <c r="AH4" s="3"/>
      <c r="AI4" s="3"/>
      <c r="AJ4" s="3"/>
      <c r="AK4" s="3"/>
      <c r="AL4" s="3"/>
    </row>
    <row r="5" spans="1:38" ht="16" x14ac:dyDescent="0.2">
      <c r="A5" s="16" t="str">
        <f>A1</f>
        <v>Indicator 2</v>
      </c>
      <c r="B5" s="3"/>
      <c r="C5" s="17" t="s">
        <v>62</v>
      </c>
      <c r="D5" s="17" t="s">
        <v>63</v>
      </c>
      <c r="E5" s="17" t="s">
        <v>64</v>
      </c>
      <c r="F5" s="17" t="s">
        <v>65</v>
      </c>
      <c r="G5" s="17" t="s">
        <v>62</v>
      </c>
      <c r="H5" s="17" t="s">
        <v>63</v>
      </c>
      <c r="I5" s="17" t="s">
        <v>64</v>
      </c>
      <c r="J5" s="17" t="s">
        <v>65</v>
      </c>
      <c r="K5" s="17" t="s">
        <v>62</v>
      </c>
      <c r="L5" s="17" t="s">
        <v>63</v>
      </c>
      <c r="M5" s="17" t="s">
        <v>64</v>
      </c>
      <c r="N5" s="17" t="s">
        <v>65</v>
      </c>
      <c r="O5" s="17" t="s">
        <v>62</v>
      </c>
      <c r="P5" s="17" t="s">
        <v>63</v>
      </c>
      <c r="Q5" s="17" t="s">
        <v>64</v>
      </c>
      <c r="R5" s="17" t="s">
        <v>65</v>
      </c>
      <c r="S5" s="17" t="s">
        <v>62</v>
      </c>
      <c r="T5" s="17" t="s">
        <v>63</v>
      </c>
      <c r="U5" s="58" t="s">
        <v>64</v>
      </c>
      <c r="V5" s="58" t="s">
        <v>65</v>
      </c>
      <c r="W5" s="58" t="s">
        <v>62</v>
      </c>
      <c r="X5" s="58" t="s">
        <v>63</v>
      </c>
      <c r="Y5" s="58" t="s">
        <v>64</v>
      </c>
      <c r="Z5" s="58" t="s">
        <v>65</v>
      </c>
      <c r="AA5" s="58" t="s">
        <v>62</v>
      </c>
      <c r="AB5" s="58" t="s">
        <v>63</v>
      </c>
      <c r="AC5" s="58" t="s">
        <v>64</v>
      </c>
      <c r="AD5" s="58" t="s">
        <v>65</v>
      </c>
      <c r="AE5" s="58" t="s">
        <v>62</v>
      </c>
      <c r="AF5" s="58" t="s">
        <v>63</v>
      </c>
      <c r="AG5" s="58" t="s">
        <v>64</v>
      </c>
      <c r="AH5" s="58" t="s">
        <v>65</v>
      </c>
      <c r="AI5" s="58" t="s">
        <v>62</v>
      </c>
      <c r="AJ5" s="58" t="s">
        <v>63</v>
      </c>
      <c r="AK5" s="58" t="s">
        <v>64</v>
      </c>
      <c r="AL5" s="58" t="s">
        <v>65</v>
      </c>
    </row>
    <row r="6" spans="1:38" ht="26" x14ac:dyDescent="0.2">
      <c r="A6" s="16"/>
      <c r="B6" s="3"/>
      <c r="C6" s="17" t="s">
        <v>385</v>
      </c>
      <c r="D6" s="17" t="s">
        <v>386</v>
      </c>
      <c r="E6" s="17" t="s">
        <v>387</v>
      </c>
      <c r="F6" s="17" t="s">
        <v>388</v>
      </c>
      <c r="G6" s="17" t="s">
        <v>66</v>
      </c>
      <c r="H6" s="17" t="s">
        <v>67</v>
      </c>
      <c r="I6" s="17" t="s">
        <v>68</v>
      </c>
      <c r="J6" s="17" t="s">
        <v>69</v>
      </c>
      <c r="K6" s="17" t="s">
        <v>70</v>
      </c>
      <c r="L6" s="17" t="s">
        <v>71</v>
      </c>
      <c r="M6" s="17" t="s">
        <v>72</v>
      </c>
      <c r="N6" s="17" t="s">
        <v>73</v>
      </c>
      <c r="O6" s="17" t="s">
        <v>74</v>
      </c>
      <c r="P6" s="17" t="s">
        <v>75</v>
      </c>
      <c r="Q6" s="17" t="s">
        <v>76</v>
      </c>
      <c r="R6" s="17" t="s">
        <v>77</v>
      </c>
      <c r="S6" s="58" t="s">
        <v>321</v>
      </c>
      <c r="T6" s="17" t="s">
        <v>322</v>
      </c>
      <c r="U6" s="17" t="s">
        <v>323</v>
      </c>
      <c r="V6" s="17" t="s">
        <v>324</v>
      </c>
      <c r="W6" s="58" t="s">
        <v>325</v>
      </c>
      <c r="X6" s="17" t="s">
        <v>326</v>
      </c>
      <c r="Y6" s="17" t="s">
        <v>327</v>
      </c>
      <c r="Z6" s="17" t="s">
        <v>328</v>
      </c>
      <c r="AA6" s="17" t="s">
        <v>329</v>
      </c>
      <c r="AB6" s="17" t="s">
        <v>330</v>
      </c>
      <c r="AC6" s="17" t="s">
        <v>331</v>
      </c>
      <c r="AD6" s="17" t="s">
        <v>332</v>
      </c>
      <c r="AE6" s="17" t="s">
        <v>333</v>
      </c>
      <c r="AF6" s="17" t="s">
        <v>334</v>
      </c>
      <c r="AG6" s="17" t="s">
        <v>335</v>
      </c>
      <c r="AH6" s="17" t="s">
        <v>336</v>
      </c>
      <c r="AI6" s="17" t="s">
        <v>337</v>
      </c>
      <c r="AJ6" s="17" t="s">
        <v>338</v>
      </c>
      <c r="AK6" s="17" t="s">
        <v>339</v>
      </c>
      <c r="AL6" s="17" t="s">
        <v>340</v>
      </c>
    </row>
    <row r="7" spans="1:38" ht="31.5" customHeight="1" x14ac:dyDescent="0.2">
      <c r="A7" s="18" t="s">
        <v>148</v>
      </c>
      <c r="B7" s="3"/>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row>
    <row r="8" spans="1:38" ht="17.25" customHeight="1" x14ac:dyDescent="0.2">
      <c r="A8" s="24"/>
      <c r="B8" s="3"/>
      <c r="C8" s="25"/>
      <c r="D8" s="25"/>
      <c r="E8" s="25"/>
      <c r="F8" s="25"/>
      <c r="G8" s="25"/>
      <c r="H8" s="25"/>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row>
    <row r="9" spans="1:38" ht="17.25" customHeight="1" x14ac:dyDescent="0.2">
      <c r="A9" s="16" t="str">
        <f>A2</f>
        <v>Indicator 3</v>
      </c>
      <c r="B9" s="3"/>
      <c r="C9" s="17" t="s">
        <v>62</v>
      </c>
      <c r="D9" s="17" t="s">
        <v>63</v>
      </c>
      <c r="E9" s="17" t="s">
        <v>64</v>
      </c>
      <c r="F9" s="17" t="s">
        <v>65</v>
      </c>
      <c r="G9" s="17" t="s">
        <v>62</v>
      </c>
      <c r="H9" s="17" t="s">
        <v>63</v>
      </c>
      <c r="I9" s="17" t="s">
        <v>64</v>
      </c>
      <c r="J9" s="17" t="s">
        <v>65</v>
      </c>
      <c r="K9" s="17" t="s">
        <v>62</v>
      </c>
      <c r="L9" s="17" t="s">
        <v>63</v>
      </c>
      <c r="M9" s="17" t="s">
        <v>64</v>
      </c>
      <c r="N9" s="17" t="s">
        <v>65</v>
      </c>
      <c r="O9" s="17" t="s">
        <v>62</v>
      </c>
      <c r="P9" s="17" t="s">
        <v>63</v>
      </c>
      <c r="Q9" s="17" t="s">
        <v>64</v>
      </c>
      <c r="R9" s="17" t="s">
        <v>65</v>
      </c>
      <c r="S9" s="17" t="s">
        <v>62</v>
      </c>
      <c r="T9" s="17" t="s">
        <v>63</v>
      </c>
      <c r="U9" s="58" t="s">
        <v>64</v>
      </c>
      <c r="V9" s="58" t="s">
        <v>65</v>
      </c>
      <c r="W9" s="58" t="s">
        <v>62</v>
      </c>
      <c r="X9" s="58" t="s">
        <v>63</v>
      </c>
      <c r="Y9" s="58" t="s">
        <v>64</v>
      </c>
      <c r="Z9" s="58" t="s">
        <v>65</v>
      </c>
      <c r="AA9" s="58" t="s">
        <v>62</v>
      </c>
      <c r="AB9" s="58" t="s">
        <v>63</v>
      </c>
      <c r="AC9" s="58" t="s">
        <v>64</v>
      </c>
      <c r="AD9" s="58" t="s">
        <v>65</v>
      </c>
      <c r="AE9" s="58" t="s">
        <v>62</v>
      </c>
      <c r="AF9" s="58" t="s">
        <v>63</v>
      </c>
      <c r="AG9" s="58" t="s">
        <v>64</v>
      </c>
      <c r="AH9" s="58" t="s">
        <v>65</v>
      </c>
      <c r="AI9" s="58" t="s">
        <v>62</v>
      </c>
      <c r="AJ9" s="58" t="s">
        <v>63</v>
      </c>
      <c r="AK9" s="58" t="s">
        <v>64</v>
      </c>
      <c r="AL9" s="58" t="s">
        <v>65</v>
      </c>
    </row>
    <row r="10" spans="1:38" ht="17.25" customHeight="1" x14ac:dyDescent="0.2">
      <c r="A10" s="16"/>
      <c r="B10" s="3"/>
      <c r="C10" s="17" t="s">
        <v>385</v>
      </c>
      <c r="D10" s="17" t="s">
        <v>386</v>
      </c>
      <c r="E10" s="17" t="s">
        <v>387</v>
      </c>
      <c r="F10" s="17" t="s">
        <v>388</v>
      </c>
      <c r="G10" s="17" t="s">
        <v>66</v>
      </c>
      <c r="H10" s="17" t="s">
        <v>67</v>
      </c>
      <c r="I10" s="17" t="s">
        <v>68</v>
      </c>
      <c r="J10" s="17" t="s">
        <v>69</v>
      </c>
      <c r="K10" s="17" t="s">
        <v>70</v>
      </c>
      <c r="L10" s="17" t="s">
        <v>71</v>
      </c>
      <c r="M10" s="17" t="s">
        <v>72</v>
      </c>
      <c r="N10" s="17" t="s">
        <v>73</v>
      </c>
      <c r="O10" s="17" t="s">
        <v>74</v>
      </c>
      <c r="P10" s="17" t="s">
        <v>75</v>
      </c>
      <c r="Q10" s="17" t="s">
        <v>76</v>
      </c>
      <c r="R10" s="17" t="s">
        <v>77</v>
      </c>
      <c r="S10" s="58" t="s">
        <v>321</v>
      </c>
      <c r="T10" s="17" t="s">
        <v>322</v>
      </c>
      <c r="U10" s="17" t="s">
        <v>323</v>
      </c>
      <c r="V10" s="17" t="s">
        <v>324</v>
      </c>
      <c r="W10" s="58" t="s">
        <v>325</v>
      </c>
      <c r="X10" s="17" t="s">
        <v>326</v>
      </c>
      <c r="Y10" s="17" t="s">
        <v>327</v>
      </c>
      <c r="Z10" s="17" t="s">
        <v>328</v>
      </c>
      <c r="AA10" s="17" t="s">
        <v>329</v>
      </c>
      <c r="AB10" s="17" t="s">
        <v>330</v>
      </c>
      <c r="AC10" s="17" t="s">
        <v>331</v>
      </c>
      <c r="AD10" s="17" t="s">
        <v>332</v>
      </c>
      <c r="AE10" s="17" t="s">
        <v>333</v>
      </c>
      <c r="AF10" s="17" t="s">
        <v>334</v>
      </c>
      <c r="AG10" s="17" t="s">
        <v>335</v>
      </c>
      <c r="AH10" s="17" t="s">
        <v>336</v>
      </c>
      <c r="AI10" s="17" t="s">
        <v>337</v>
      </c>
      <c r="AJ10" s="17" t="s">
        <v>338</v>
      </c>
      <c r="AK10" s="17" t="s">
        <v>339</v>
      </c>
      <c r="AL10" s="17" t="s">
        <v>340</v>
      </c>
    </row>
    <row r="11" spans="1:38" ht="31.5" customHeight="1" x14ac:dyDescent="0.2">
      <c r="A11" s="18" t="s">
        <v>359</v>
      </c>
      <c r="B11" s="3"/>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row>
    <row r="12" spans="1:38" ht="15.75" customHeight="1" x14ac:dyDescent="0.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row>
    <row r="13" spans="1:38" ht="15.75" customHeight="1" x14ac:dyDescent="0.2">
      <c r="A13" s="15" t="s">
        <v>115</v>
      </c>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row>
    <row r="14" spans="1:38" ht="111.75" customHeight="1" x14ac:dyDescent="0.2">
      <c r="A14" s="4" t="s">
        <v>116</v>
      </c>
      <c r="B14" s="3"/>
      <c r="C14" s="85"/>
      <c r="D14" s="86"/>
      <c r="E14" s="86"/>
      <c r="F14" s="86"/>
      <c r="G14" s="86"/>
      <c r="H14" s="86"/>
      <c r="I14" s="86"/>
      <c r="J14" s="86"/>
      <c r="K14" s="86"/>
      <c r="L14" s="86"/>
      <c r="M14" s="86"/>
      <c r="N14" s="86"/>
      <c r="O14" s="86"/>
      <c r="P14" s="86"/>
      <c r="Q14" s="86"/>
      <c r="R14" s="86"/>
      <c r="S14" s="86"/>
      <c r="T14" s="87"/>
    </row>
    <row r="15" spans="1:38" ht="31.5" customHeight="1" x14ac:dyDescent="0.2">
      <c r="A15" s="24"/>
      <c r="B15" s="3"/>
      <c r="C15" s="25"/>
      <c r="D15" s="25"/>
      <c r="E15" s="25"/>
      <c r="F15" s="25"/>
      <c r="G15" s="25"/>
      <c r="H15" s="25"/>
      <c r="I15" s="25"/>
      <c r="J15" s="25"/>
      <c r="K15" s="25"/>
      <c r="L15" s="25"/>
      <c r="M15" s="25"/>
      <c r="N15" s="25"/>
      <c r="O15" s="3"/>
      <c r="P15" s="3"/>
      <c r="Q15" s="3"/>
      <c r="R15" s="3"/>
      <c r="S15" s="3"/>
      <c r="T15" s="3"/>
    </row>
    <row r="16" spans="1:38" ht="31.5" customHeight="1" x14ac:dyDescent="0.2">
      <c r="A16" s="15" t="s">
        <v>320</v>
      </c>
      <c r="B16" s="3"/>
      <c r="C16" s="25"/>
      <c r="D16" s="25"/>
      <c r="E16" s="25"/>
      <c r="F16" s="25"/>
      <c r="G16" s="25"/>
      <c r="H16" s="25"/>
      <c r="I16" s="25"/>
      <c r="J16" s="25"/>
      <c r="K16" s="25"/>
      <c r="L16" s="25"/>
      <c r="M16" s="25"/>
      <c r="N16" s="25"/>
      <c r="O16" s="3"/>
      <c r="P16" s="3"/>
      <c r="Q16" s="3"/>
      <c r="R16" s="3"/>
      <c r="S16" s="3"/>
      <c r="T16" s="3"/>
    </row>
    <row r="17" spans="1:38" ht="273" customHeight="1" x14ac:dyDescent="0.2">
      <c r="A17" s="24"/>
      <c r="B17" s="3"/>
      <c r="C17" s="25"/>
      <c r="D17" s="25"/>
      <c r="E17" s="25"/>
      <c r="F17" s="25"/>
      <c r="G17" s="25"/>
      <c r="H17" s="25"/>
      <c r="I17" s="25"/>
      <c r="J17" s="25"/>
      <c r="K17" s="25"/>
      <c r="L17" s="25"/>
      <c r="M17" s="25"/>
      <c r="N17" s="25"/>
      <c r="O17" s="3"/>
      <c r="P17" s="3"/>
      <c r="Q17" s="3"/>
      <c r="R17" s="3"/>
      <c r="S17" s="3"/>
      <c r="T17" s="3"/>
    </row>
    <row r="18" spans="1:38" ht="31.5" customHeight="1" x14ac:dyDescent="0.2">
      <c r="A18" s="24"/>
      <c r="B18" s="3"/>
      <c r="C18" s="25"/>
      <c r="D18" s="25"/>
      <c r="E18" s="25"/>
      <c r="F18" s="25"/>
      <c r="G18" s="25"/>
      <c r="H18" s="25"/>
      <c r="I18" s="25"/>
      <c r="J18" s="25"/>
      <c r="K18" s="25"/>
      <c r="L18" s="25"/>
      <c r="M18" s="25"/>
      <c r="N18" s="25"/>
      <c r="O18" s="3"/>
      <c r="P18" s="3"/>
      <c r="Q18" s="3"/>
      <c r="R18" s="3"/>
      <c r="S18" s="3"/>
      <c r="T18" s="3"/>
    </row>
    <row r="19" spans="1:38" ht="15.75" customHeight="1" x14ac:dyDescent="0.2">
      <c r="A19" s="15" t="s">
        <v>390</v>
      </c>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row>
    <row r="20" spans="1:38" ht="16" customHeight="1" x14ac:dyDescent="0.2">
      <c r="A20" s="16" t="s">
        <v>376</v>
      </c>
      <c r="C20" s="17" t="s">
        <v>62</v>
      </c>
      <c r="D20" s="17" t="s">
        <v>63</v>
      </c>
      <c r="E20" s="17" t="s">
        <v>64</v>
      </c>
      <c r="F20" s="17" t="s">
        <v>65</v>
      </c>
      <c r="G20" s="17" t="s">
        <v>62</v>
      </c>
      <c r="H20" s="17" t="s">
        <v>63</v>
      </c>
      <c r="I20" s="17" t="s">
        <v>64</v>
      </c>
      <c r="J20" s="17" t="s">
        <v>65</v>
      </c>
      <c r="K20" s="17" t="s">
        <v>62</v>
      </c>
      <c r="L20" s="17" t="s">
        <v>63</v>
      </c>
      <c r="M20" s="17" t="s">
        <v>64</v>
      </c>
      <c r="N20" s="17" t="s">
        <v>65</v>
      </c>
      <c r="O20" s="17" t="s">
        <v>62</v>
      </c>
      <c r="P20" s="17" t="s">
        <v>63</v>
      </c>
      <c r="Q20" s="17" t="s">
        <v>64</v>
      </c>
      <c r="R20" s="17" t="s">
        <v>65</v>
      </c>
      <c r="S20" s="17" t="s">
        <v>62</v>
      </c>
      <c r="T20" s="17" t="s">
        <v>63</v>
      </c>
      <c r="U20" s="17" t="s">
        <v>64</v>
      </c>
      <c r="V20" s="17" t="s">
        <v>65</v>
      </c>
      <c r="W20" s="17" t="s">
        <v>62</v>
      </c>
      <c r="X20" s="17" t="s">
        <v>63</v>
      </c>
      <c r="Y20" s="17" t="s">
        <v>64</v>
      </c>
      <c r="Z20" s="17" t="s">
        <v>65</v>
      </c>
      <c r="AA20" s="17" t="s">
        <v>62</v>
      </c>
      <c r="AB20" s="17" t="s">
        <v>63</v>
      </c>
      <c r="AC20" s="17" t="s">
        <v>64</v>
      </c>
      <c r="AD20" s="17" t="s">
        <v>65</v>
      </c>
      <c r="AE20" s="17" t="s">
        <v>62</v>
      </c>
      <c r="AF20" s="17" t="s">
        <v>63</v>
      </c>
      <c r="AG20" s="17" t="s">
        <v>64</v>
      </c>
      <c r="AH20" s="17" t="s">
        <v>65</v>
      </c>
      <c r="AI20" s="17" t="s">
        <v>62</v>
      </c>
      <c r="AJ20" s="17" t="s">
        <v>63</v>
      </c>
      <c r="AK20" s="17" t="s">
        <v>64</v>
      </c>
      <c r="AL20" s="17" t="s">
        <v>65</v>
      </c>
    </row>
    <row r="21" spans="1:38" ht="16" customHeight="1" x14ac:dyDescent="0.2">
      <c r="A21" s="16" t="s">
        <v>373</v>
      </c>
      <c r="C21" s="17" t="s">
        <v>385</v>
      </c>
      <c r="D21" s="17" t="s">
        <v>386</v>
      </c>
      <c r="E21" s="17" t="s">
        <v>387</v>
      </c>
      <c r="F21" s="17" t="s">
        <v>388</v>
      </c>
      <c r="G21" s="17" t="s">
        <v>66</v>
      </c>
      <c r="H21" s="17" t="s">
        <v>67</v>
      </c>
      <c r="I21" s="17" t="s">
        <v>68</v>
      </c>
      <c r="J21" s="17" t="s">
        <v>69</v>
      </c>
      <c r="K21" s="17" t="s">
        <v>70</v>
      </c>
      <c r="L21" s="17" t="s">
        <v>71</v>
      </c>
      <c r="M21" s="17" t="s">
        <v>72</v>
      </c>
      <c r="N21" s="17" t="s">
        <v>73</v>
      </c>
      <c r="O21" s="17" t="s">
        <v>74</v>
      </c>
      <c r="P21" s="17" t="s">
        <v>75</v>
      </c>
      <c r="Q21" s="17" t="s">
        <v>76</v>
      </c>
      <c r="R21" s="17" t="s">
        <v>77</v>
      </c>
      <c r="S21" s="58" t="s">
        <v>321</v>
      </c>
      <c r="T21" s="17" t="s">
        <v>322</v>
      </c>
      <c r="U21" s="17" t="s">
        <v>323</v>
      </c>
      <c r="V21" s="17" t="s">
        <v>324</v>
      </c>
      <c r="W21" s="58" t="s">
        <v>325</v>
      </c>
      <c r="X21" s="17" t="s">
        <v>326</v>
      </c>
      <c r="Y21" s="17" t="s">
        <v>327</v>
      </c>
      <c r="Z21" s="17" t="s">
        <v>328</v>
      </c>
      <c r="AA21" s="17" t="s">
        <v>329</v>
      </c>
      <c r="AB21" s="17" t="s">
        <v>330</v>
      </c>
      <c r="AC21" s="17" t="s">
        <v>331</v>
      </c>
      <c r="AD21" s="17" t="s">
        <v>332</v>
      </c>
      <c r="AE21" s="17" t="s">
        <v>333</v>
      </c>
      <c r="AF21" s="17" t="s">
        <v>334</v>
      </c>
      <c r="AG21" s="17" t="s">
        <v>335</v>
      </c>
      <c r="AH21" s="17" t="s">
        <v>336</v>
      </c>
      <c r="AI21" s="17" t="s">
        <v>337</v>
      </c>
      <c r="AJ21" s="17" t="s">
        <v>338</v>
      </c>
      <c r="AK21" s="17" t="s">
        <v>339</v>
      </c>
      <c r="AL21" s="17" t="s">
        <v>340</v>
      </c>
    </row>
    <row r="22" spans="1:38" ht="16" customHeight="1" x14ac:dyDescent="0.2">
      <c r="A22" s="18" t="s">
        <v>377</v>
      </c>
      <c r="C22" s="66">
        <f>IFERROR(ROUND(('2-3 INQUIRIES'!C7/'Conversion data'!C7)*100,1),0)</f>
        <v>0</v>
      </c>
      <c r="D22" s="66">
        <f>IFERROR(ROUND(('2-3 INQUIRIES'!D7/'Conversion data'!D7)*100,1),0)</f>
        <v>0</v>
      </c>
      <c r="E22" s="66">
        <f>IFERROR(ROUND(('2-3 INQUIRIES'!E7/'Conversion data'!E7)*100,1),0)</f>
        <v>0</v>
      </c>
      <c r="F22" s="66">
        <f>IFERROR(ROUND(('2-3 INQUIRIES'!F7/'Conversion data'!F7)*100,1),0)</f>
        <v>0</v>
      </c>
      <c r="G22" s="66">
        <f>IFERROR(ROUND(('2-3 INQUIRIES'!G7/'Conversion data'!G7)*100,1),0)</f>
        <v>0</v>
      </c>
      <c r="H22" s="66">
        <f>IFERROR(ROUND(('2-3 INQUIRIES'!H7/'Conversion data'!H7)*100,1),0)</f>
        <v>0</v>
      </c>
      <c r="I22" s="66">
        <f>IFERROR(ROUND(('2-3 INQUIRIES'!I7/'Conversion data'!I7)*100,1),0)</f>
        <v>0</v>
      </c>
      <c r="J22" s="66">
        <f>IFERROR(ROUND(('2-3 INQUIRIES'!J7/'Conversion data'!J7)*100,1),0)</f>
        <v>0</v>
      </c>
      <c r="K22" s="66">
        <f>IFERROR(ROUND(('2-3 INQUIRIES'!K7/'Conversion data'!K7)*100,1),0)</f>
        <v>0</v>
      </c>
      <c r="L22" s="66">
        <f>IFERROR(ROUND(('2-3 INQUIRIES'!L7/'Conversion data'!L7)*100,1),0)</f>
        <v>0</v>
      </c>
      <c r="M22" s="66">
        <f>IFERROR(ROUND(('2-3 INQUIRIES'!M7/'Conversion data'!M7)*100,1),0)</f>
        <v>0</v>
      </c>
      <c r="N22" s="66">
        <f>IFERROR(ROUND(('2-3 INQUIRIES'!N7/'Conversion data'!N7)*100,1),0)</f>
        <v>0</v>
      </c>
      <c r="O22" s="66">
        <f>IFERROR(ROUND(('2-3 INQUIRIES'!O7/'Conversion data'!O7)*100,1),0)</f>
        <v>0</v>
      </c>
      <c r="P22" s="66">
        <f>IFERROR(ROUND(('2-3 INQUIRIES'!P7/'Conversion data'!P7)*100,1),0)</f>
        <v>0</v>
      </c>
      <c r="Q22" s="66">
        <f>IFERROR(ROUND(('2-3 INQUIRIES'!Q7/'Conversion data'!Q7)*100,1),0)</f>
        <v>0</v>
      </c>
      <c r="R22" s="66">
        <f>IFERROR(ROUND(('2-3 INQUIRIES'!R7/'Conversion data'!R7)*100,1),0)</f>
        <v>0</v>
      </c>
      <c r="S22" s="66">
        <f>IFERROR(ROUND(('2-3 INQUIRIES'!S7/'Conversion data'!S7)*100,1),0)</f>
        <v>0</v>
      </c>
      <c r="T22" s="66">
        <f>IFERROR(ROUND(('2-3 INQUIRIES'!T7/'Conversion data'!T7)*100,1),0)</f>
        <v>0</v>
      </c>
      <c r="U22" s="66">
        <f>IFERROR(ROUND(('2-3 INQUIRIES'!U7/'Conversion data'!U7)*100,1),0)</f>
        <v>0</v>
      </c>
      <c r="V22" s="66">
        <f>IFERROR(ROUND(('2-3 INQUIRIES'!V7/'Conversion data'!V7)*100,1),0)</f>
        <v>0</v>
      </c>
      <c r="W22" s="66">
        <f>IFERROR(ROUND(('2-3 INQUIRIES'!W7/'Conversion data'!W7)*100,1),0)</f>
        <v>0</v>
      </c>
      <c r="X22" s="66">
        <f>IFERROR(ROUND(('2-3 INQUIRIES'!X7/'Conversion data'!X7)*100,1),0)</f>
        <v>0</v>
      </c>
      <c r="Y22" s="66">
        <f>IFERROR(ROUND(('2-3 INQUIRIES'!Y7/'Conversion data'!Y7)*100,1),0)</f>
        <v>0</v>
      </c>
      <c r="Z22" s="66">
        <f>IFERROR(ROUND(('2-3 INQUIRIES'!Z7/'Conversion data'!Z7)*100,1),0)</f>
        <v>0</v>
      </c>
      <c r="AA22" s="66">
        <f>IFERROR(ROUND(('2-3 INQUIRIES'!AA7/'Conversion data'!AA7)*100,1),0)</f>
        <v>0</v>
      </c>
      <c r="AB22" s="66">
        <f>IFERROR(ROUND(('2-3 INQUIRIES'!AB7/'Conversion data'!AB7)*100,1),0)</f>
        <v>0</v>
      </c>
      <c r="AC22" s="66">
        <f>IFERROR(ROUND(('2-3 INQUIRIES'!AC7/'Conversion data'!AC7)*100,1),0)</f>
        <v>0</v>
      </c>
      <c r="AD22" s="66">
        <f>IFERROR(ROUND(('2-3 INQUIRIES'!AD7/'Conversion data'!AD7)*100,1),0)</f>
        <v>0</v>
      </c>
      <c r="AE22" s="66">
        <f>IFERROR(ROUND(('2-3 INQUIRIES'!AE7/'Conversion data'!AE7)*100,1),0)</f>
        <v>0</v>
      </c>
      <c r="AF22" s="66">
        <f>IFERROR(ROUND(('2-3 INQUIRIES'!AF7/'Conversion data'!AF7)*100,1),0)</f>
        <v>0</v>
      </c>
      <c r="AG22" s="66">
        <f>IFERROR(ROUND(('2-3 INQUIRIES'!AG7/'Conversion data'!AG7)*100,1),0)</f>
        <v>0</v>
      </c>
      <c r="AH22" s="66">
        <f>IFERROR(ROUND(('2-3 INQUIRIES'!AH7/'Conversion data'!AH7)*100,1),0)</f>
        <v>0</v>
      </c>
      <c r="AI22" s="66">
        <f>IFERROR(ROUND(('2-3 INQUIRIES'!AI7/'Conversion data'!AI7)*100,1),0)</f>
        <v>0</v>
      </c>
      <c r="AJ22" s="66">
        <f>IFERROR(ROUND(('2-3 INQUIRIES'!AJ7/'Conversion data'!AJ7)*100,1),0)</f>
        <v>0</v>
      </c>
      <c r="AK22" s="66">
        <f>IFERROR(ROUND(('2-3 INQUIRIES'!AK7/'Conversion data'!AK7)*100,1),0)</f>
        <v>0</v>
      </c>
      <c r="AL22" s="66">
        <f>IFERROR(ROUND(('2-3 INQUIRIES'!AL7/'Conversion data'!AL7)*100,1),0)</f>
        <v>0</v>
      </c>
    </row>
    <row r="23" spans="1:38" ht="16" customHeight="1" x14ac:dyDescent="0.2">
      <c r="A23" s="18" t="s">
        <v>378</v>
      </c>
      <c r="C23" s="66">
        <f>IFERROR(ROUND(('2-3 INQUIRIES'!C11/'Conversion data'!C7)*100,1),0)</f>
        <v>0</v>
      </c>
      <c r="D23" s="66">
        <f>IFERROR(ROUND(('2-3 INQUIRIES'!D11/'Conversion data'!D7)*100,1),0)</f>
        <v>0</v>
      </c>
      <c r="E23" s="66">
        <f>IFERROR(ROUND(('2-3 INQUIRIES'!E11/'Conversion data'!E7)*100,1),0)</f>
        <v>0</v>
      </c>
      <c r="F23" s="66">
        <f>IFERROR(ROUND(('2-3 INQUIRIES'!F11/'Conversion data'!F7)*100,1),0)</f>
        <v>0</v>
      </c>
      <c r="G23" s="66">
        <f>IFERROR(ROUND(('2-3 INQUIRIES'!G11/'Conversion data'!G7)*100,1),0)</f>
        <v>0</v>
      </c>
      <c r="H23" s="66">
        <f>IFERROR(ROUND(('2-3 INQUIRIES'!H11/'Conversion data'!H7)*100,1),0)</f>
        <v>0</v>
      </c>
      <c r="I23" s="66">
        <f>IFERROR(ROUND(('2-3 INQUIRIES'!I11/'Conversion data'!I7)*100,1),0)</f>
        <v>0</v>
      </c>
      <c r="J23" s="66">
        <f>IFERROR(ROUND(('2-3 INQUIRIES'!J11/'Conversion data'!J7)*100,1),0)</f>
        <v>0</v>
      </c>
      <c r="K23" s="66">
        <f>IFERROR(ROUND(('2-3 INQUIRIES'!K11/'Conversion data'!K7)*100,1),0)</f>
        <v>0</v>
      </c>
      <c r="L23" s="66">
        <f>IFERROR(ROUND(('2-3 INQUIRIES'!L11/'Conversion data'!L7)*100,1),0)</f>
        <v>0</v>
      </c>
      <c r="M23" s="66">
        <f>IFERROR(ROUND(('2-3 INQUIRIES'!M11/'Conversion data'!M7)*100,1),0)</f>
        <v>0</v>
      </c>
      <c r="N23" s="66">
        <f>IFERROR(ROUND(('2-3 INQUIRIES'!N11/'Conversion data'!N7)*100,1),0)</f>
        <v>0</v>
      </c>
      <c r="O23" s="66">
        <f>IFERROR(ROUND(('2-3 INQUIRIES'!O11/'Conversion data'!O7)*100,1),0)</f>
        <v>0</v>
      </c>
      <c r="P23" s="66">
        <f>IFERROR(ROUND(('2-3 INQUIRIES'!P11/'Conversion data'!P7)*100,1),0)</f>
        <v>0</v>
      </c>
      <c r="Q23" s="66">
        <f>IFERROR(ROUND(('2-3 INQUIRIES'!Q11/'Conversion data'!Q7)*100,1),0)</f>
        <v>0</v>
      </c>
      <c r="R23" s="66">
        <f>IFERROR(ROUND(('2-3 INQUIRIES'!R11/'Conversion data'!R7)*100,1),0)</f>
        <v>0</v>
      </c>
      <c r="S23" s="66">
        <f>IFERROR(ROUND(('2-3 INQUIRIES'!S11/'Conversion data'!S7)*100,1),0)</f>
        <v>0</v>
      </c>
      <c r="T23" s="66">
        <f>IFERROR(ROUND(('2-3 INQUIRIES'!T11/'Conversion data'!T7)*100,1),0)</f>
        <v>0</v>
      </c>
      <c r="U23" s="66">
        <f>IFERROR(ROUND(('2-3 INQUIRIES'!U11/'Conversion data'!U7)*100,1),0)</f>
        <v>0</v>
      </c>
      <c r="V23" s="66">
        <f>IFERROR(ROUND(('2-3 INQUIRIES'!V11/'Conversion data'!V7)*100,1),0)</f>
        <v>0</v>
      </c>
      <c r="W23" s="66">
        <f>IFERROR(ROUND(('2-3 INQUIRIES'!W11/'Conversion data'!W7)*100,1),0)</f>
        <v>0</v>
      </c>
      <c r="X23" s="66">
        <f>IFERROR(ROUND(('2-3 INQUIRIES'!X11/'Conversion data'!X7)*100,1),0)</f>
        <v>0</v>
      </c>
      <c r="Y23" s="66">
        <f>IFERROR(ROUND(('2-3 INQUIRIES'!Y11/'Conversion data'!Y7)*100,1),0)</f>
        <v>0</v>
      </c>
      <c r="Z23" s="66">
        <f>IFERROR(ROUND(('2-3 INQUIRIES'!Z11/'Conversion data'!Z7)*100,1),0)</f>
        <v>0</v>
      </c>
      <c r="AA23" s="66">
        <f>IFERROR(ROUND(('2-3 INQUIRIES'!AA11/'Conversion data'!AA7)*100,1),0)</f>
        <v>0</v>
      </c>
      <c r="AB23" s="66">
        <f>IFERROR(ROUND(('2-3 INQUIRIES'!AB11/'Conversion data'!AB7)*100,1),0)</f>
        <v>0</v>
      </c>
      <c r="AC23" s="66">
        <f>IFERROR(ROUND(('2-3 INQUIRIES'!AC11/'Conversion data'!AC7)*100,1),0)</f>
        <v>0</v>
      </c>
      <c r="AD23" s="66">
        <f>IFERROR(ROUND(('2-3 INQUIRIES'!AD11/'Conversion data'!AD7)*100,1),0)</f>
        <v>0</v>
      </c>
      <c r="AE23" s="66">
        <f>IFERROR(ROUND(('2-3 INQUIRIES'!AE11/'Conversion data'!AE7)*100,1),0)</f>
        <v>0</v>
      </c>
      <c r="AF23" s="66">
        <f>IFERROR(ROUND(('2-3 INQUIRIES'!AF11/'Conversion data'!AF7)*100,1),0)</f>
        <v>0</v>
      </c>
      <c r="AG23" s="66">
        <f>IFERROR(ROUND(('2-3 INQUIRIES'!AG11/'Conversion data'!AG7)*100,1),0)</f>
        <v>0</v>
      </c>
      <c r="AH23" s="66">
        <f>IFERROR(ROUND(('2-3 INQUIRIES'!AH11/'Conversion data'!AH7)*100,1),0)</f>
        <v>0</v>
      </c>
      <c r="AI23" s="66">
        <f>IFERROR(ROUND(('2-3 INQUIRIES'!AI11/'Conversion data'!AI7)*100,1),0)</f>
        <v>0</v>
      </c>
      <c r="AJ23" s="66">
        <f>IFERROR(ROUND(('2-3 INQUIRIES'!AJ11/'Conversion data'!AJ7)*100,1),0)</f>
        <v>0</v>
      </c>
      <c r="AK23" s="66">
        <f>IFERROR(ROUND(('2-3 INQUIRIES'!AK11/'Conversion data'!AK7)*100,1),0)</f>
        <v>0</v>
      </c>
      <c r="AL23" s="66">
        <f>IFERROR(ROUND(('2-3 INQUIRIES'!AL11/'Conversion data'!AL7)*100,1),0)</f>
        <v>0</v>
      </c>
    </row>
    <row r="24" spans="1:38" ht="16" customHeight="1" x14ac:dyDescent="0.2">
      <c r="A24" s="29"/>
      <c r="B24" s="29"/>
      <c r="C24" s="29"/>
      <c r="D24" s="29"/>
      <c r="E24" s="29"/>
      <c r="F24" s="29"/>
      <c r="G24" s="29"/>
      <c r="H24" s="29"/>
      <c r="I24" s="29"/>
      <c r="J24" s="29"/>
      <c r="K24" s="29"/>
      <c r="L24" s="29"/>
      <c r="M24" s="29"/>
      <c r="N24" s="29"/>
      <c r="O24" s="29"/>
      <c r="P24" s="29"/>
      <c r="Q24" s="29"/>
      <c r="R24" s="29"/>
      <c r="S24" s="29"/>
      <c r="T24" s="29"/>
    </row>
    <row r="25" spans="1:38" ht="17.25" customHeight="1" x14ac:dyDescent="0.2">
      <c r="A25" s="15" t="s">
        <v>117</v>
      </c>
      <c r="B25" s="3"/>
      <c r="C25" s="25"/>
      <c r="D25" s="25"/>
      <c r="E25" s="25"/>
      <c r="F25" s="25"/>
      <c r="G25" s="25"/>
      <c r="H25" s="25"/>
      <c r="I25" s="25"/>
      <c r="J25" s="25"/>
      <c r="K25" s="25"/>
      <c r="L25" s="25"/>
      <c r="M25" s="25"/>
      <c r="N25" s="25"/>
      <c r="O25" s="3"/>
      <c r="P25" s="3"/>
      <c r="Q25" s="3"/>
      <c r="R25" s="3"/>
      <c r="S25" s="3"/>
      <c r="T25" s="3"/>
      <c r="U25" s="3"/>
      <c r="V25" s="3"/>
      <c r="W25" s="3"/>
      <c r="X25" s="3"/>
      <c r="Y25" s="3"/>
      <c r="Z25" s="3"/>
      <c r="AA25" s="3"/>
      <c r="AB25" s="3"/>
      <c r="AC25" s="3"/>
      <c r="AD25" s="3"/>
      <c r="AE25" s="3"/>
      <c r="AF25" s="3"/>
      <c r="AG25" s="3"/>
      <c r="AH25" s="3"/>
      <c r="AI25" s="3"/>
      <c r="AJ25" s="3"/>
      <c r="AK25" s="3"/>
      <c r="AL25" s="3"/>
    </row>
    <row r="26" spans="1:38" ht="255" customHeight="1" x14ac:dyDescent="0.2">
      <c r="A26" s="31" t="str">
        <f>(A1&amp;" and "&amp;A2)</f>
        <v>Indicator 2 and Indicator 3</v>
      </c>
      <c r="B26" s="3"/>
      <c r="C26" s="82" t="s">
        <v>149</v>
      </c>
      <c r="D26" s="83"/>
      <c r="E26" s="83"/>
      <c r="F26" s="83"/>
      <c r="G26" s="83"/>
      <c r="H26" s="83"/>
      <c r="I26" s="83"/>
      <c r="J26" s="83"/>
      <c r="K26" s="83"/>
      <c r="L26" s="83"/>
      <c r="M26" s="83"/>
      <c r="N26" s="83"/>
      <c r="O26" s="3"/>
      <c r="P26" s="3"/>
      <c r="Q26" s="3"/>
      <c r="R26" s="3"/>
      <c r="S26" s="3"/>
      <c r="T26" s="3"/>
      <c r="U26" s="3"/>
      <c r="V26" s="3"/>
      <c r="W26" s="3"/>
      <c r="X26" s="3"/>
      <c r="Y26" s="3"/>
      <c r="Z26" s="3"/>
      <c r="AA26" s="3"/>
      <c r="AB26" s="3"/>
      <c r="AC26" s="3"/>
      <c r="AD26" s="3"/>
      <c r="AE26" s="3"/>
      <c r="AF26" s="3"/>
      <c r="AG26" s="3"/>
      <c r="AH26" s="3"/>
      <c r="AI26" s="3"/>
      <c r="AJ26" s="3"/>
      <c r="AK26" s="3"/>
      <c r="AL26" s="3"/>
    </row>
    <row r="27" spans="1:38" ht="15.75" customHeight="1" x14ac:dyDescent="0.2">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row>
    <row r="28" spans="1:38" ht="17.25" customHeight="1" x14ac:dyDescent="0.2">
      <c r="A28" s="15" t="s">
        <v>119</v>
      </c>
      <c r="B28" s="3"/>
      <c r="C28" s="32"/>
      <c r="D28" s="32"/>
      <c r="E28" s="32"/>
      <c r="F28" s="32"/>
      <c r="G28" s="32"/>
      <c r="H28" s="32"/>
      <c r="I28" s="32"/>
      <c r="J28" s="32"/>
      <c r="K28" s="32"/>
      <c r="L28" s="32"/>
      <c r="M28" s="32"/>
      <c r="N28" s="32"/>
      <c r="O28" s="3"/>
      <c r="P28" s="3"/>
      <c r="Q28" s="3"/>
      <c r="R28" s="3"/>
      <c r="S28" s="3"/>
      <c r="T28" s="3"/>
      <c r="U28" s="3"/>
      <c r="V28" s="3"/>
      <c r="W28" s="3"/>
      <c r="X28" s="3"/>
      <c r="Y28" s="3"/>
      <c r="Z28" s="3"/>
      <c r="AA28" s="3"/>
      <c r="AB28" s="3"/>
      <c r="AC28" s="3"/>
      <c r="AD28" s="3"/>
      <c r="AE28" s="3"/>
      <c r="AF28" s="3"/>
      <c r="AG28" s="3"/>
      <c r="AH28" s="3"/>
      <c r="AI28" s="3"/>
      <c r="AJ28" s="3"/>
      <c r="AK28" s="3"/>
      <c r="AL28" s="3"/>
    </row>
    <row r="29" spans="1:38" ht="255.75" customHeight="1" x14ac:dyDescent="0.2">
      <c r="A29" s="31" t="s">
        <v>150</v>
      </c>
      <c r="B29" s="3"/>
      <c r="C29" s="82" t="s">
        <v>151</v>
      </c>
      <c r="D29" s="83"/>
      <c r="E29" s="83"/>
      <c r="F29" s="83"/>
      <c r="G29" s="83"/>
      <c r="H29" s="83"/>
      <c r="I29" s="83"/>
      <c r="J29" s="83"/>
      <c r="K29" s="83"/>
      <c r="L29" s="83"/>
      <c r="M29" s="83"/>
      <c r="N29" s="83"/>
      <c r="O29" s="3"/>
      <c r="P29" s="3"/>
      <c r="Q29" s="3"/>
      <c r="R29" s="3"/>
      <c r="S29" s="3"/>
      <c r="T29" s="3"/>
      <c r="U29" s="3"/>
      <c r="V29" s="3"/>
      <c r="W29" s="3"/>
      <c r="X29" s="3"/>
      <c r="Y29" s="3"/>
      <c r="Z29" s="3"/>
      <c r="AA29" s="3"/>
      <c r="AB29" s="3"/>
      <c r="AC29" s="3"/>
      <c r="AD29" s="3"/>
      <c r="AE29" s="3"/>
      <c r="AF29" s="3"/>
      <c r="AG29" s="3"/>
      <c r="AH29" s="3"/>
      <c r="AI29" s="3"/>
      <c r="AJ29" s="3"/>
      <c r="AK29" s="3"/>
      <c r="AL29" s="3"/>
    </row>
    <row r="30" spans="1:38" ht="15.75" customHeight="1" x14ac:dyDescent="0.2">
      <c r="A30" s="3"/>
      <c r="B30" s="3"/>
      <c r="C30" s="32"/>
      <c r="D30" s="32"/>
      <c r="E30" s="32"/>
      <c r="F30" s="32"/>
      <c r="G30" s="32"/>
      <c r="H30" s="32"/>
      <c r="I30" s="32"/>
      <c r="J30" s="32"/>
      <c r="K30" s="32"/>
      <c r="L30" s="32"/>
      <c r="M30" s="32"/>
      <c r="N30" s="32"/>
      <c r="O30" s="3"/>
      <c r="P30" s="3"/>
      <c r="Q30" s="3"/>
      <c r="R30" s="3"/>
      <c r="S30" s="3"/>
      <c r="T30" s="3"/>
      <c r="U30" s="3"/>
      <c r="V30" s="3"/>
      <c r="W30" s="3"/>
      <c r="X30" s="3"/>
      <c r="Y30" s="3"/>
      <c r="Z30" s="3"/>
      <c r="AA30" s="3"/>
      <c r="AB30" s="3"/>
      <c r="AC30" s="3"/>
      <c r="AD30" s="3"/>
      <c r="AE30" s="3"/>
      <c r="AF30" s="3"/>
      <c r="AG30" s="3"/>
      <c r="AH30" s="3"/>
      <c r="AI30" s="3"/>
      <c r="AJ30" s="3"/>
      <c r="AK30" s="3"/>
      <c r="AL30" s="3"/>
    </row>
    <row r="31" spans="1:38" ht="15.75" customHeight="1" x14ac:dyDescent="0.2">
      <c r="A31" s="15" t="s">
        <v>142</v>
      </c>
      <c r="B31" s="3"/>
      <c r="C31" s="32"/>
      <c r="D31" s="32"/>
      <c r="E31" s="32"/>
      <c r="F31" s="32"/>
      <c r="G31" s="32"/>
      <c r="H31" s="32"/>
      <c r="I31" s="32"/>
      <c r="J31" s="32"/>
      <c r="K31" s="32"/>
      <c r="L31" s="32"/>
      <c r="M31" s="32"/>
      <c r="N31" s="32"/>
      <c r="O31" s="3"/>
      <c r="P31" s="3"/>
      <c r="Q31" s="3"/>
      <c r="R31" s="3"/>
      <c r="S31" s="3"/>
      <c r="T31" s="3"/>
      <c r="U31" s="3"/>
      <c r="V31" s="3"/>
      <c r="W31" s="3"/>
      <c r="X31" s="3"/>
      <c r="Y31" s="3"/>
      <c r="Z31" s="3"/>
      <c r="AA31" s="3"/>
      <c r="AB31" s="3"/>
      <c r="AC31" s="3"/>
      <c r="AD31" s="3"/>
      <c r="AE31" s="3"/>
      <c r="AF31" s="3"/>
      <c r="AG31" s="3"/>
      <c r="AH31" s="3"/>
      <c r="AI31" s="3"/>
      <c r="AJ31" s="3"/>
      <c r="AK31" s="3"/>
      <c r="AL31" s="3"/>
    </row>
    <row r="32" spans="1:38" ht="15.75" customHeight="1" x14ac:dyDescent="0.2">
      <c r="A32" s="38" t="str">
        <f>(A1&amp;" – "&amp;A2)</f>
        <v>Indicator 2 – Indicator 3</v>
      </c>
      <c r="B32" s="3"/>
      <c r="C32" s="82" t="s">
        <v>143</v>
      </c>
      <c r="D32" s="83"/>
      <c r="E32" s="83"/>
      <c r="F32" s="83"/>
      <c r="G32" s="83"/>
      <c r="H32" s="83"/>
      <c r="I32" s="83"/>
      <c r="J32" s="83"/>
      <c r="K32" s="83"/>
      <c r="L32" s="83"/>
      <c r="M32" s="83"/>
      <c r="N32" s="83"/>
      <c r="O32" s="3"/>
      <c r="P32" s="3"/>
      <c r="Q32" s="3"/>
      <c r="R32" s="3"/>
      <c r="S32" s="3"/>
      <c r="T32" s="3"/>
      <c r="U32" s="3"/>
      <c r="V32" s="3"/>
      <c r="W32" s="3"/>
      <c r="X32" s="3"/>
      <c r="Y32" s="3"/>
      <c r="Z32" s="3"/>
      <c r="AA32" s="3"/>
      <c r="AB32" s="3"/>
      <c r="AC32" s="3"/>
      <c r="AD32" s="3"/>
      <c r="AE32" s="3"/>
      <c r="AF32" s="3"/>
      <c r="AG32" s="3"/>
      <c r="AH32" s="3"/>
      <c r="AI32" s="3"/>
      <c r="AJ32" s="3"/>
      <c r="AK32" s="3"/>
      <c r="AL32" s="3"/>
    </row>
    <row r="33" spans="1:38" ht="15.75" customHeight="1" x14ac:dyDescent="0.2">
      <c r="A33" s="3"/>
      <c r="B33" s="3"/>
      <c r="C33" s="32"/>
      <c r="D33" s="32"/>
      <c r="E33" s="32"/>
      <c r="F33" s="32"/>
      <c r="G33" s="32"/>
      <c r="H33" s="32"/>
      <c r="I33" s="32"/>
      <c r="J33" s="32"/>
      <c r="K33" s="32"/>
      <c r="L33" s="32"/>
      <c r="M33" s="32"/>
      <c r="N33" s="32"/>
      <c r="O33" s="3"/>
      <c r="P33" s="3"/>
      <c r="Q33" s="3"/>
      <c r="R33" s="3"/>
      <c r="S33" s="3"/>
      <c r="T33" s="3"/>
      <c r="U33" s="3"/>
      <c r="V33" s="3"/>
      <c r="W33" s="3"/>
      <c r="X33" s="3"/>
      <c r="Y33" s="3"/>
      <c r="Z33" s="3"/>
      <c r="AA33" s="3"/>
      <c r="AB33" s="3"/>
      <c r="AC33" s="3"/>
      <c r="AD33" s="3"/>
      <c r="AE33" s="3"/>
      <c r="AF33" s="3"/>
      <c r="AG33" s="3"/>
      <c r="AH33" s="3"/>
      <c r="AI33" s="3"/>
      <c r="AJ33" s="3"/>
      <c r="AK33" s="3"/>
      <c r="AL33" s="3"/>
    </row>
    <row r="34" spans="1:38" ht="15.75" customHeight="1"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row>
    <row r="35" spans="1:38" ht="15.75" customHeight="1" x14ac:dyDescent="0.2">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row>
    <row r="36" spans="1:38" ht="15.75" customHeight="1" x14ac:dyDescent="0.2">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row>
    <row r="37" spans="1:38" ht="15.75" customHeight="1"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row>
    <row r="38" spans="1:38" ht="15.75" customHeight="1" x14ac:dyDescent="0.2">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row>
    <row r="39" spans="1:38" ht="15.75" customHeight="1"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row>
    <row r="40" spans="1:38" ht="15.75" customHeight="1" x14ac:dyDescent="0.2">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row>
    <row r="41" spans="1:38" ht="15.75" customHeight="1" x14ac:dyDescent="0.2">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row>
    <row r="42" spans="1:38" ht="15.75" customHeight="1" x14ac:dyDescent="0.25">
      <c r="A42" s="3"/>
      <c r="B42" s="3"/>
      <c r="C42" s="3"/>
      <c r="D42" s="3"/>
      <c r="E42" s="39"/>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row>
    <row r="43" spans="1:38" ht="15.75" customHeight="1" x14ac:dyDescent="0.25">
      <c r="A43" s="3"/>
      <c r="B43" s="3"/>
      <c r="C43" s="3"/>
      <c r="D43" s="3"/>
      <c r="E43" s="39"/>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row>
    <row r="44" spans="1:38" ht="15.75" customHeight="1" x14ac:dyDescent="0.25">
      <c r="A44" s="3"/>
      <c r="B44" s="3"/>
      <c r="C44" s="3"/>
      <c r="D44" s="3"/>
      <c r="E44" s="39"/>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row>
    <row r="45" spans="1:38" ht="15.75" customHeight="1" x14ac:dyDescent="0.25">
      <c r="A45" s="3"/>
      <c r="B45" s="3"/>
      <c r="C45" s="3"/>
      <c r="D45" s="3"/>
      <c r="E45" s="39"/>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row>
    <row r="46" spans="1:38" ht="15.75" customHeight="1" x14ac:dyDescent="0.25">
      <c r="A46" s="3"/>
      <c r="B46" s="3"/>
      <c r="C46" s="3"/>
      <c r="D46" s="3"/>
      <c r="E46" s="39"/>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row>
    <row r="47" spans="1:38" ht="15.75" customHeight="1" x14ac:dyDescent="0.25">
      <c r="A47" s="3"/>
      <c r="B47" s="3"/>
      <c r="C47" s="3"/>
      <c r="D47" s="3"/>
      <c r="E47" s="39"/>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row>
    <row r="48" spans="1:38" ht="15.75" customHeight="1" x14ac:dyDescent="0.25">
      <c r="A48" s="3"/>
      <c r="B48" s="3"/>
      <c r="C48" s="3"/>
      <c r="D48" s="3"/>
      <c r="E48" s="39"/>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row>
    <row r="49" spans="1:38" ht="15.75" customHeight="1" x14ac:dyDescent="0.25">
      <c r="A49" s="3"/>
      <c r="B49" s="3"/>
      <c r="C49" s="3"/>
      <c r="D49" s="3"/>
      <c r="E49" s="39"/>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row>
    <row r="50" spans="1:38" ht="15.75" customHeight="1" x14ac:dyDescent="0.25">
      <c r="A50" s="3"/>
      <c r="B50" s="3"/>
      <c r="C50" s="3"/>
      <c r="D50" s="3"/>
      <c r="E50" s="39"/>
      <c r="F50" s="3"/>
      <c r="G50" s="3"/>
      <c r="H50" s="3"/>
      <c r="I50" s="3"/>
      <c r="J50" s="3"/>
      <c r="K50" s="3"/>
      <c r="L50" s="3"/>
      <c r="M50" s="3"/>
      <c r="N50" s="3"/>
      <c r="O50" s="39"/>
      <c r="P50" s="3"/>
      <c r="Q50" s="3"/>
      <c r="R50" s="3"/>
      <c r="S50" s="3"/>
      <c r="T50" s="3"/>
      <c r="U50" s="39"/>
      <c r="V50" s="3"/>
      <c r="W50" s="3"/>
      <c r="X50" s="39"/>
      <c r="Y50" s="39"/>
      <c r="Z50" s="3"/>
      <c r="AA50" s="3"/>
      <c r="AB50" s="39"/>
      <c r="AC50" s="3"/>
      <c r="AD50" s="3"/>
      <c r="AE50" s="39"/>
      <c r="AF50" s="3"/>
      <c r="AG50" s="3"/>
      <c r="AH50" s="39"/>
      <c r="AI50" s="3"/>
      <c r="AJ50" s="3"/>
      <c r="AK50" s="39"/>
      <c r="AL50" s="3"/>
    </row>
    <row r="51" spans="1:38" ht="15.75" customHeight="1" x14ac:dyDescent="0.25">
      <c r="A51" s="3"/>
      <c r="B51" s="3"/>
      <c r="C51" s="3"/>
      <c r="D51" s="3"/>
      <c r="E51" s="39"/>
      <c r="F51" s="3"/>
      <c r="G51" s="3"/>
      <c r="H51" s="3"/>
      <c r="I51" s="3"/>
      <c r="J51" s="3"/>
      <c r="K51" s="3"/>
      <c r="L51" s="3"/>
      <c r="M51" s="3"/>
      <c r="N51" s="3"/>
      <c r="O51" s="39"/>
      <c r="P51" s="3"/>
      <c r="Q51" s="3"/>
      <c r="R51" s="3"/>
      <c r="S51" s="3"/>
      <c r="T51" s="3"/>
      <c r="U51" s="39"/>
      <c r="V51" s="3"/>
      <c r="W51" s="3"/>
      <c r="X51" s="39"/>
      <c r="Y51" s="39"/>
      <c r="Z51" s="3"/>
      <c r="AA51" s="3"/>
      <c r="AB51" s="39"/>
      <c r="AC51" s="3"/>
      <c r="AD51" s="3"/>
      <c r="AE51" s="39"/>
      <c r="AF51" s="3"/>
      <c r="AG51" s="3"/>
      <c r="AH51" s="39"/>
      <c r="AI51" s="3"/>
      <c r="AJ51" s="3"/>
      <c r="AK51" s="39"/>
      <c r="AL51" s="3"/>
    </row>
    <row r="52" spans="1:38" ht="15.75" customHeight="1" x14ac:dyDescent="0.25">
      <c r="A52" s="3"/>
      <c r="B52" s="3"/>
      <c r="C52" s="3"/>
      <c r="D52" s="3"/>
      <c r="E52" s="39"/>
      <c r="F52" s="3"/>
      <c r="G52" s="3"/>
      <c r="H52" s="3"/>
      <c r="I52" s="3"/>
      <c r="J52" s="3"/>
      <c r="K52" s="3"/>
      <c r="L52" s="3"/>
      <c r="M52" s="3"/>
      <c r="N52" s="3"/>
      <c r="O52" s="39"/>
      <c r="P52" s="3"/>
      <c r="Q52" s="3"/>
      <c r="R52" s="3"/>
      <c r="S52" s="3"/>
      <c r="T52" s="3"/>
      <c r="U52" s="39"/>
      <c r="V52" s="3"/>
      <c r="W52" s="3"/>
      <c r="X52" s="39"/>
      <c r="Y52" s="39"/>
      <c r="Z52" s="3"/>
      <c r="AA52" s="3"/>
      <c r="AB52" s="39"/>
      <c r="AC52" s="3"/>
      <c r="AD52" s="3"/>
      <c r="AE52" s="39"/>
      <c r="AF52" s="3"/>
      <c r="AG52" s="3"/>
      <c r="AH52" s="39"/>
      <c r="AI52" s="3"/>
      <c r="AJ52" s="3"/>
      <c r="AK52" s="39"/>
      <c r="AL52" s="3"/>
    </row>
    <row r="53" spans="1:38" ht="15.75" customHeight="1" x14ac:dyDescent="0.25">
      <c r="A53" s="3"/>
      <c r="B53" s="3"/>
      <c r="C53" s="3"/>
      <c r="D53" s="3"/>
      <c r="E53" s="39"/>
      <c r="F53" s="3"/>
      <c r="G53" s="3"/>
      <c r="H53" s="3"/>
      <c r="I53" s="3"/>
      <c r="J53" s="3"/>
      <c r="K53" s="3"/>
      <c r="L53" s="3"/>
      <c r="M53" s="3"/>
      <c r="N53" s="3"/>
      <c r="O53" s="39"/>
      <c r="P53" s="3"/>
      <c r="Q53" s="3"/>
      <c r="R53" s="3"/>
      <c r="S53" s="3"/>
      <c r="T53" s="3"/>
      <c r="U53" s="39"/>
      <c r="V53" s="3"/>
      <c r="W53" s="3"/>
      <c r="X53" s="39"/>
      <c r="Y53" s="39"/>
      <c r="Z53" s="3"/>
      <c r="AA53" s="3"/>
      <c r="AB53" s="39"/>
      <c r="AC53" s="3"/>
      <c r="AD53" s="3"/>
      <c r="AE53" s="39"/>
      <c r="AF53" s="3"/>
      <c r="AG53" s="3"/>
      <c r="AH53" s="39"/>
      <c r="AI53" s="3"/>
      <c r="AJ53" s="3"/>
      <c r="AK53" s="39"/>
      <c r="AL53" s="3"/>
    </row>
    <row r="54" spans="1:38" ht="15.75" customHeight="1" x14ac:dyDescent="0.25">
      <c r="A54" s="3"/>
      <c r="B54" s="3"/>
      <c r="C54" s="3"/>
      <c r="D54" s="3"/>
      <c r="E54" s="39"/>
      <c r="F54" s="3"/>
      <c r="G54" s="3"/>
      <c r="H54" s="3"/>
      <c r="I54" s="3"/>
      <c r="J54" s="3"/>
      <c r="K54" s="3"/>
      <c r="L54" s="3"/>
      <c r="M54" s="3"/>
      <c r="N54" s="3"/>
      <c r="O54" s="39"/>
      <c r="P54" s="3"/>
      <c r="Q54" s="3"/>
      <c r="R54" s="3"/>
      <c r="S54" s="3"/>
      <c r="T54" s="3"/>
      <c r="U54" s="39"/>
      <c r="V54" s="3"/>
      <c r="W54" s="3"/>
      <c r="X54" s="39"/>
      <c r="Y54" s="39"/>
      <c r="Z54" s="3"/>
      <c r="AA54" s="3"/>
      <c r="AB54" s="39"/>
      <c r="AC54" s="3"/>
      <c r="AD54" s="3"/>
      <c r="AE54" s="39"/>
      <c r="AF54" s="3"/>
      <c r="AG54" s="3"/>
      <c r="AH54" s="39"/>
      <c r="AI54" s="3"/>
      <c r="AJ54" s="3"/>
      <c r="AK54" s="39"/>
      <c r="AL54" s="3"/>
    </row>
    <row r="55" spans="1:38" ht="15.75" customHeight="1" x14ac:dyDescent="0.25">
      <c r="A55" s="3"/>
      <c r="B55" s="3"/>
      <c r="C55" s="3"/>
      <c r="D55" s="3"/>
      <c r="E55" s="39"/>
      <c r="F55" s="3"/>
      <c r="G55" s="3"/>
      <c r="H55" s="3"/>
      <c r="I55" s="3"/>
      <c r="J55" s="3"/>
      <c r="K55" s="3"/>
      <c r="L55" s="3"/>
      <c r="M55" s="3"/>
      <c r="N55" s="3"/>
      <c r="O55" s="39"/>
      <c r="P55" s="3"/>
      <c r="Q55" s="3"/>
      <c r="R55" s="3"/>
      <c r="S55" s="3"/>
      <c r="T55" s="3"/>
      <c r="U55" s="39"/>
      <c r="V55" s="3"/>
      <c r="W55" s="3"/>
      <c r="X55" s="39"/>
      <c r="Y55" s="39"/>
      <c r="Z55" s="3"/>
      <c r="AA55" s="3"/>
      <c r="AB55" s="39"/>
      <c r="AC55" s="3"/>
      <c r="AD55" s="3"/>
      <c r="AE55" s="39"/>
      <c r="AF55" s="3"/>
      <c r="AG55" s="3"/>
      <c r="AH55" s="39"/>
      <c r="AI55" s="3"/>
      <c r="AJ55" s="3"/>
      <c r="AK55" s="39"/>
      <c r="AL55" s="3"/>
    </row>
    <row r="56" spans="1:38" ht="15.75" customHeight="1" x14ac:dyDescent="0.25">
      <c r="A56" s="3"/>
      <c r="B56" s="3"/>
      <c r="C56" s="3"/>
      <c r="D56" s="3"/>
      <c r="E56" s="39"/>
      <c r="F56" s="3"/>
      <c r="G56" s="3"/>
      <c r="H56" s="3"/>
      <c r="I56" s="3"/>
      <c r="J56" s="3"/>
      <c r="K56" s="3"/>
      <c r="L56" s="3"/>
      <c r="M56" s="3"/>
      <c r="N56" s="3"/>
      <c r="O56" s="39"/>
      <c r="P56" s="3"/>
      <c r="Q56" s="3" t="s">
        <v>152</v>
      </c>
      <c r="R56" s="3"/>
      <c r="S56" s="3"/>
      <c r="T56" s="3"/>
      <c r="U56" s="39"/>
      <c r="V56" s="3"/>
      <c r="W56" s="3"/>
      <c r="X56" s="39"/>
      <c r="Y56" s="39"/>
      <c r="Z56" s="3"/>
      <c r="AA56" s="3"/>
      <c r="AB56" s="39"/>
      <c r="AC56" s="3"/>
      <c r="AD56" s="3"/>
      <c r="AE56" s="39"/>
      <c r="AF56" s="3"/>
      <c r="AG56" s="3"/>
      <c r="AH56" s="39"/>
      <c r="AI56" s="3"/>
      <c r="AJ56" s="3"/>
      <c r="AK56" s="39"/>
      <c r="AL56" s="3"/>
    </row>
    <row r="57" spans="1:38" ht="15.75" customHeight="1" x14ac:dyDescent="0.25">
      <c r="A57" s="3"/>
      <c r="B57" s="3"/>
      <c r="C57" s="3"/>
      <c r="D57" s="3"/>
      <c r="E57" s="39"/>
      <c r="F57" s="3"/>
      <c r="G57" s="3"/>
      <c r="H57" s="3"/>
      <c r="I57" s="3"/>
      <c r="J57" s="3"/>
      <c r="K57" s="3"/>
      <c r="L57" s="3"/>
      <c r="M57" s="3"/>
      <c r="N57" s="3"/>
      <c r="O57" s="39"/>
      <c r="P57" s="3"/>
      <c r="Q57" s="3"/>
      <c r="R57" s="3"/>
      <c r="S57" s="3"/>
      <c r="T57" s="3"/>
      <c r="U57" s="39"/>
      <c r="V57" s="3"/>
      <c r="W57" s="3"/>
      <c r="X57" s="39"/>
      <c r="Y57" s="39"/>
      <c r="Z57" s="3"/>
      <c r="AA57" s="3"/>
      <c r="AB57" s="39"/>
      <c r="AC57" s="3"/>
      <c r="AD57" s="3"/>
      <c r="AE57" s="39"/>
      <c r="AF57" s="3"/>
      <c r="AG57" s="3"/>
      <c r="AH57" s="39"/>
      <c r="AI57" s="3"/>
      <c r="AJ57" s="3"/>
      <c r="AK57" s="39"/>
      <c r="AL57" s="3"/>
    </row>
    <row r="58" spans="1:38" ht="15.75" customHeight="1" x14ac:dyDescent="0.25">
      <c r="A58" s="3"/>
      <c r="B58" s="3"/>
      <c r="C58" s="3"/>
      <c r="D58" s="3"/>
      <c r="E58" s="39"/>
      <c r="F58" s="3"/>
      <c r="G58" s="3"/>
      <c r="H58" s="3"/>
      <c r="I58" s="3"/>
      <c r="J58" s="3"/>
      <c r="K58" s="3"/>
      <c r="L58" s="3"/>
      <c r="M58" s="3"/>
      <c r="N58" s="3"/>
      <c r="O58" s="39"/>
      <c r="P58" s="3"/>
      <c r="Q58" s="3"/>
      <c r="R58" s="3"/>
      <c r="S58" s="3"/>
      <c r="T58" s="3"/>
      <c r="U58" s="39"/>
      <c r="V58" s="3"/>
      <c r="W58" s="3"/>
      <c r="X58" s="39"/>
      <c r="Y58" s="39"/>
      <c r="Z58" s="3"/>
      <c r="AA58" s="3"/>
      <c r="AB58" s="39"/>
      <c r="AC58" s="3"/>
      <c r="AD58" s="3"/>
      <c r="AE58" s="39"/>
      <c r="AF58" s="3"/>
      <c r="AG58" s="3"/>
      <c r="AH58" s="39"/>
      <c r="AI58" s="3"/>
      <c r="AJ58" s="3"/>
      <c r="AK58" s="39"/>
      <c r="AL58" s="3"/>
    </row>
    <row r="59" spans="1:38" ht="15.75" customHeight="1" x14ac:dyDescent="0.25">
      <c r="A59" s="3"/>
      <c r="B59" s="3"/>
      <c r="C59" s="3"/>
      <c r="D59" s="3"/>
      <c r="E59" s="39"/>
      <c r="F59" s="3"/>
      <c r="G59" s="3"/>
      <c r="H59" s="3"/>
      <c r="I59" s="3"/>
      <c r="J59" s="3"/>
      <c r="K59" s="3"/>
      <c r="L59" s="3"/>
      <c r="M59" s="3"/>
      <c r="N59" s="3"/>
      <c r="O59" s="39"/>
      <c r="P59" s="3"/>
      <c r="Q59" s="3"/>
      <c r="R59" s="3"/>
      <c r="S59" s="3"/>
      <c r="T59" s="3"/>
      <c r="U59" s="39"/>
      <c r="V59" s="3"/>
      <c r="W59" s="3"/>
      <c r="X59" s="39"/>
      <c r="Y59" s="39"/>
      <c r="Z59" s="3"/>
      <c r="AA59" s="3"/>
      <c r="AB59" s="39"/>
      <c r="AC59" s="3"/>
      <c r="AD59" s="3"/>
      <c r="AE59" s="39"/>
      <c r="AF59" s="3"/>
      <c r="AG59" s="3"/>
      <c r="AH59" s="39"/>
      <c r="AI59" s="3"/>
      <c r="AJ59" s="3"/>
      <c r="AK59" s="39"/>
      <c r="AL59" s="3"/>
    </row>
    <row r="60" spans="1:38" ht="15.75" customHeight="1" x14ac:dyDescent="0.25">
      <c r="A60" s="3"/>
      <c r="B60" s="3"/>
      <c r="C60" s="3"/>
      <c r="D60" s="3"/>
      <c r="E60" s="39"/>
      <c r="F60" s="3"/>
      <c r="G60" s="3"/>
      <c r="H60" s="3"/>
      <c r="I60" s="3"/>
      <c r="J60" s="3"/>
      <c r="K60" s="3"/>
      <c r="L60" s="3"/>
      <c r="M60" s="3"/>
      <c r="N60" s="3"/>
      <c r="O60" s="39"/>
      <c r="P60" s="3"/>
      <c r="Q60" s="3"/>
      <c r="R60" s="3"/>
      <c r="S60" s="3"/>
      <c r="T60" s="3"/>
      <c r="U60" s="39"/>
      <c r="V60" s="3"/>
      <c r="W60" s="3"/>
      <c r="X60" s="39"/>
      <c r="Y60" s="39"/>
      <c r="Z60" s="3"/>
      <c r="AA60" s="3"/>
      <c r="AB60" s="39"/>
      <c r="AC60" s="3"/>
      <c r="AD60" s="3"/>
      <c r="AE60" s="39"/>
      <c r="AF60" s="3"/>
      <c r="AG60" s="3"/>
      <c r="AH60" s="39"/>
      <c r="AI60" s="3"/>
      <c r="AJ60" s="3"/>
      <c r="AK60" s="39"/>
      <c r="AL60" s="3"/>
    </row>
    <row r="61" spans="1:38" ht="15.75" customHeight="1" x14ac:dyDescent="0.25">
      <c r="A61" s="3"/>
      <c r="B61" s="3"/>
      <c r="C61" s="3"/>
      <c r="D61" s="3"/>
      <c r="E61" s="39"/>
      <c r="F61" s="3"/>
      <c r="G61" s="3"/>
      <c r="H61" s="3"/>
      <c r="I61" s="3"/>
      <c r="J61" s="3"/>
      <c r="K61" s="3"/>
      <c r="L61" s="3"/>
      <c r="M61" s="3"/>
      <c r="N61" s="3"/>
      <c r="O61" s="39"/>
      <c r="P61" s="3"/>
      <c r="Q61" s="3"/>
      <c r="R61" s="3"/>
      <c r="S61" s="3"/>
      <c r="T61" s="3"/>
      <c r="U61" s="39"/>
      <c r="V61" s="3"/>
      <c r="W61" s="3"/>
      <c r="X61" s="39"/>
      <c r="Y61" s="39"/>
      <c r="Z61" s="3"/>
      <c r="AA61" s="3"/>
      <c r="AB61" s="39"/>
      <c r="AC61" s="3"/>
      <c r="AD61" s="3"/>
      <c r="AE61" s="39"/>
      <c r="AF61" s="3"/>
      <c r="AG61" s="3"/>
      <c r="AH61" s="39"/>
      <c r="AI61" s="3"/>
      <c r="AJ61" s="3"/>
      <c r="AK61" s="39"/>
      <c r="AL61" s="3"/>
    </row>
    <row r="62" spans="1:38" ht="15.75" customHeight="1" x14ac:dyDescent="0.25">
      <c r="A62" s="3"/>
      <c r="B62" s="3"/>
      <c r="C62" s="3"/>
      <c r="D62" s="3"/>
      <c r="E62" s="39"/>
      <c r="F62" s="3"/>
      <c r="G62" s="3"/>
      <c r="H62" s="3"/>
      <c r="I62" s="3"/>
      <c r="J62" s="3"/>
      <c r="K62" s="3"/>
      <c r="L62" s="3"/>
      <c r="M62" s="3"/>
      <c r="N62" s="3"/>
      <c r="O62" s="39"/>
      <c r="P62" s="3"/>
      <c r="Q62" s="3"/>
      <c r="R62" s="3"/>
      <c r="S62" s="3"/>
      <c r="T62" s="3"/>
      <c r="U62" s="39"/>
      <c r="V62" s="3"/>
      <c r="W62" s="3"/>
      <c r="X62" s="39"/>
      <c r="Y62" s="39"/>
      <c r="Z62" s="3"/>
      <c r="AA62" s="3"/>
      <c r="AB62" s="39"/>
      <c r="AC62" s="3"/>
      <c r="AD62" s="3"/>
      <c r="AE62" s="39"/>
      <c r="AF62" s="3"/>
      <c r="AG62" s="3"/>
      <c r="AH62" s="39"/>
      <c r="AI62" s="3"/>
      <c r="AJ62" s="3"/>
      <c r="AK62" s="39"/>
      <c r="AL62" s="3"/>
    </row>
    <row r="63" spans="1:38" ht="15.75" customHeight="1" x14ac:dyDescent="0.25">
      <c r="A63" s="3"/>
      <c r="B63" s="3"/>
      <c r="C63" s="3"/>
      <c r="D63" s="3"/>
      <c r="E63" s="39"/>
      <c r="F63" s="3"/>
      <c r="G63" s="3"/>
      <c r="H63" s="3"/>
      <c r="I63" s="3"/>
      <c r="J63" s="3"/>
      <c r="K63" s="3"/>
      <c r="L63" s="3"/>
      <c r="M63" s="3"/>
      <c r="N63" s="3"/>
      <c r="O63" s="39"/>
      <c r="P63" s="3"/>
      <c r="Q63" s="3"/>
      <c r="R63" s="3"/>
      <c r="S63" s="3"/>
      <c r="T63" s="3"/>
      <c r="U63" s="39"/>
      <c r="V63" s="3"/>
      <c r="W63" s="3"/>
      <c r="X63" s="39"/>
      <c r="Y63" s="39"/>
      <c r="Z63" s="3"/>
      <c r="AA63" s="3"/>
      <c r="AB63" s="39"/>
      <c r="AC63" s="3"/>
      <c r="AD63" s="3"/>
      <c r="AE63" s="39"/>
      <c r="AF63" s="3"/>
      <c r="AG63" s="3"/>
      <c r="AH63" s="39"/>
      <c r="AI63" s="3"/>
      <c r="AJ63" s="3"/>
      <c r="AK63" s="39"/>
      <c r="AL63" s="3"/>
    </row>
    <row r="64" spans="1:38" ht="15.75" customHeight="1" x14ac:dyDescent="0.25">
      <c r="A64" s="3"/>
      <c r="B64" s="3"/>
      <c r="C64" s="3"/>
      <c r="D64" s="3"/>
      <c r="E64" s="39"/>
      <c r="F64" s="3"/>
      <c r="G64" s="3"/>
      <c r="H64" s="3"/>
      <c r="I64" s="3"/>
      <c r="J64" s="3"/>
      <c r="K64" s="3"/>
      <c r="L64" s="3"/>
      <c r="M64" s="3"/>
      <c r="N64" s="3"/>
      <c r="O64" s="39"/>
      <c r="P64" s="3"/>
      <c r="Q64" s="3"/>
      <c r="R64" s="3"/>
      <c r="S64" s="3"/>
      <c r="T64" s="3"/>
      <c r="U64" s="39"/>
      <c r="V64" s="3"/>
      <c r="W64" s="3"/>
      <c r="X64" s="39"/>
      <c r="Y64" s="39"/>
      <c r="Z64" s="3"/>
      <c r="AA64" s="3"/>
      <c r="AB64" s="39"/>
      <c r="AC64" s="3"/>
      <c r="AD64" s="3"/>
      <c r="AE64" s="39"/>
      <c r="AF64" s="3"/>
      <c r="AG64" s="3"/>
      <c r="AH64" s="39"/>
      <c r="AI64" s="3"/>
      <c r="AJ64" s="3"/>
      <c r="AK64" s="39"/>
      <c r="AL64" s="3"/>
    </row>
    <row r="65" spans="1:38" ht="15.75" customHeight="1" x14ac:dyDescent="0.25">
      <c r="A65" s="3"/>
      <c r="B65" s="3"/>
      <c r="C65" s="3"/>
      <c r="D65" s="3"/>
      <c r="E65" s="39"/>
      <c r="F65" s="3"/>
      <c r="G65" s="3"/>
      <c r="H65" s="3"/>
      <c r="I65" s="3"/>
      <c r="J65" s="3"/>
      <c r="K65" s="3"/>
      <c r="L65" s="3"/>
      <c r="M65" s="3"/>
      <c r="N65" s="3"/>
      <c r="O65" s="39"/>
      <c r="P65" s="3"/>
      <c r="Q65" s="3"/>
      <c r="R65" s="3"/>
      <c r="S65" s="3"/>
      <c r="T65" s="3"/>
      <c r="U65" s="39"/>
      <c r="V65" s="3"/>
      <c r="W65" s="3"/>
      <c r="X65" s="39"/>
      <c r="Y65" s="39"/>
      <c r="Z65" s="3"/>
      <c r="AA65" s="3"/>
      <c r="AB65" s="39"/>
      <c r="AC65" s="3"/>
      <c r="AD65" s="3"/>
      <c r="AE65" s="39"/>
      <c r="AF65" s="3"/>
      <c r="AG65" s="3"/>
      <c r="AH65" s="39"/>
      <c r="AI65" s="3"/>
      <c r="AJ65" s="3"/>
      <c r="AK65" s="39"/>
      <c r="AL65" s="3"/>
    </row>
    <row r="66" spans="1:38" ht="15.75" customHeight="1" x14ac:dyDescent="0.25">
      <c r="A66" s="3"/>
      <c r="B66" s="3"/>
      <c r="C66" s="3"/>
      <c r="D66" s="3"/>
      <c r="E66" s="39"/>
      <c r="F66" s="3"/>
      <c r="G66" s="3"/>
      <c r="H66" s="3"/>
      <c r="I66" s="3"/>
      <c r="J66" s="3"/>
      <c r="K66" s="3"/>
      <c r="L66" s="3"/>
      <c r="M66" s="3"/>
      <c r="N66" s="3"/>
      <c r="O66" s="39"/>
      <c r="P66" s="3"/>
      <c r="Q66" s="3"/>
      <c r="R66" s="3"/>
      <c r="S66" s="3"/>
      <c r="T66" s="3"/>
      <c r="U66" s="39"/>
      <c r="V66" s="3"/>
      <c r="W66" s="3"/>
      <c r="X66" s="39"/>
      <c r="Y66" s="39"/>
      <c r="Z66" s="3"/>
      <c r="AA66" s="3"/>
      <c r="AB66" s="39"/>
      <c r="AC66" s="3"/>
      <c r="AD66" s="3"/>
      <c r="AE66" s="39"/>
      <c r="AF66" s="3"/>
      <c r="AG66" s="3"/>
      <c r="AH66" s="39"/>
      <c r="AI66" s="3"/>
      <c r="AJ66" s="3"/>
      <c r="AK66" s="39"/>
      <c r="AL66" s="3"/>
    </row>
    <row r="67" spans="1:38" ht="15.75" customHeight="1" x14ac:dyDescent="0.25">
      <c r="A67" s="3"/>
      <c r="B67" s="3"/>
      <c r="C67" s="3"/>
      <c r="D67" s="3"/>
      <c r="E67" s="39"/>
      <c r="F67" s="3"/>
      <c r="G67" s="3"/>
      <c r="H67" s="3"/>
      <c r="I67" s="3"/>
      <c r="J67" s="3"/>
      <c r="K67" s="3"/>
      <c r="L67" s="3"/>
      <c r="M67" s="3"/>
      <c r="N67" s="3"/>
      <c r="O67" s="39"/>
      <c r="P67" s="3"/>
      <c r="Q67" s="3"/>
      <c r="R67" s="3"/>
      <c r="S67" s="3"/>
      <c r="T67" s="3"/>
      <c r="U67" s="39"/>
      <c r="V67" s="3"/>
      <c r="W67" s="3"/>
      <c r="X67" s="39"/>
      <c r="Y67" s="39"/>
      <c r="Z67" s="3"/>
      <c r="AA67" s="3"/>
      <c r="AB67" s="39"/>
      <c r="AC67" s="3"/>
      <c r="AD67" s="3"/>
      <c r="AE67" s="39"/>
      <c r="AF67" s="3"/>
      <c r="AG67" s="3"/>
      <c r="AH67" s="39"/>
      <c r="AI67" s="3"/>
      <c r="AJ67" s="3"/>
      <c r="AK67" s="39"/>
      <c r="AL67" s="3"/>
    </row>
    <row r="68" spans="1:38" ht="15.75" customHeight="1" x14ac:dyDescent="0.25">
      <c r="A68" s="3"/>
      <c r="B68" s="3"/>
      <c r="C68" s="3"/>
      <c r="D68" s="3"/>
      <c r="E68" s="39"/>
      <c r="F68" s="3"/>
      <c r="G68" s="3"/>
      <c r="H68" s="3"/>
      <c r="I68" s="3"/>
      <c r="J68" s="3"/>
      <c r="K68" s="3"/>
      <c r="L68" s="3"/>
      <c r="M68" s="3"/>
      <c r="N68" s="3"/>
      <c r="O68" s="39"/>
      <c r="P68" s="3"/>
      <c r="Q68" s="3"/>
      <c r="R68" s="3"/>
      <c r="S68" s="3"/>
      <c r="T68" s="3"/>
      <c r="U68" s="39"/>
      <c r="V68" s="3"/>
      <c r="W68" s="3"/>
      <c r="X68" s="39"/>
      <c r="Y68" s="39"/>
      <c r="Z68" s="3"/>
      <c r="AA68" s="3"/>
      <c r="AB68" s="39"/>
      <c r="AC68" s="3"/>
      <c r="AD68" s="3"/>
      <c r="AE68" s="39"/>
      <c r="AF68" s="3"/>
      <c r="AG68" s="3"/>
      <c r="AH68" s="39"/>
      <c r="AI68" s="3"/>
      <c r="AJ68" s="3"/>
      <c r="AK68" s="39"/>
      <c r="AL68" s="3"/>
    </row>
    <row r="69" spans="1:38" ht="15.75" customHeight="1" x14ac:dyDescent="0.25">
      <c r="A69" s="3"/>
      <c r="B69" s="3"/>
      <c r="C69" s="3"/>
      <c r="D69" s="3"/>
      <c r="E69" s="39"/>
      <c r="F69" s="3"/>
      <c r="G69" s="3"/>
      <c r="H69" s="3"/>
      <c r="I69" s="3"/>
      <c r="J69" s="3"/>
      <c r="K69" s="3"/>
      <c r="L69" s="3"/>
      <c r="M69" s="3"/>
      <c r="N69" s="3"/>
      <c r="O69" s="39"/>
      <c r="P69" s="3"/>
      <c r="Q69" s="3"/>
      <c r="R69" s="3"/>
      <c r="S69" s="3"/>
      <c r="T69" s="3"/>
      <c r="U69" s="39"/>
      <c r="V69" s="3"/>
      <c r="W69" s="3"/>
      <c r="X69" s="39"/>
      <c r="Y69" s="39"/>
      <c r="Z69" s="3"/>
      <c r="AA69" s="3"/>
      <c r="AB69" s="39"/>
      <c r="AC69" s="3"/>
      <c r="AD69" s="3"/>
      <c r="AE69" s="39"/>
      <c r="AF69" s="3"/>
      <c r="AG69" s="3"/>
      <c r="AH69" s="39"/>
      <c r="AI69" s="3"/>
      <c r="AJ69" s="3"/>
      <c r="AK69" s="39"/>
      <c r="AL69" s="3"/>
    </row>
    <row r="70" spans="1:38" ht="15.75" customHeight="1" x14ac:dyDescent="0.25">
      <c r="A70" s="3"/>
      <c r="B70" s="3"/>
      <c r="C70" s="3"/>
      <c r="D70" s="3"/>
      <c r="E70" s="39"/>
      <c r="F70" s="3"/>
      <c r="G70" s="3"/>
      <c r="H70" s="3"/>
      <c r="I70" s="3"/>
      <c r="J70" s="3"/>
      <c r="K70" s="3"/>
      <c r="L70" s="3"/>
      <c r="M70" s="3"/>
      <c r="N70" s="3"/>
      <c r="O70" s="39"/>
      <c r="P70" s="3"/>
      <c r="Q70" s="3"/>
      <c r="R70" s="3"/>
      <c r="S70" s="3"/>
      <c r="T70" s="3"/>
      <c r="U70" s="39"/>
      <c r="V70" s="3"/>
      <c r="W70" s="3"/>
      <c r="X70" s="39"/>
      <c r="Y70" s="39"/>
      <c r="Z70" s="3"/>
      <c r="AA70" s="3"/>
      <c r="AB70" s="39"/>
      <c r="AC70" s="3"/>
      <c r="AD70" s="3"/>
      <c r="AE70" s="39"/>
      <c r="AF70" s="3"/>
      <c r="AG70" s="3"/>
      <c r="AH70" s="39"/>
      <c r="AI70" s="3"/>
      <c r="AJ70" s="3"/>
      <c r="AK70" s="39"/>
      <c r="AL70" s="3"/>
    </row>
    <row r="71" spans="1:38" ht="15.75" customHeight="1" x14ac:dyDescent="0.25">
      <c r="A71" s="3"/>
      <c r="B71" s="3"/>
      <c r="C71" s="3"/>
      <c r="D71" s="3"/>
      <c r="E71" s="39"/>
      <c r="F71" s="3"/>
      <c r="G71" s="3"/>
      <c r="H71" s="3"/>
      <c r="I71" s="3"/>
      <c r="J71" s="3"/>
      <c r="K71" s="3"/>
      <c r="L71" s="3"/>
      <c r="M71" s="3"/>
      <c r="N71" s="3"/>
      <c r="O71" s="39"/>
      <c r="P71" s="3"/>
      <c r="Q71" s="3"/>
      <c r="R71" s="3"/>
      <c r="S71" s="3"/>
      <c r="T71" s="3"/>
      <c r="U71" s="39"/>
      <c r="V71" s="3"/>
      <c r="W71" s="3"/>
      <c r="X71" s="39"/>
      <c r="Y71" s="39"/>
      <c r="Z71" s="3"/>
      <c r="AA71" s="3"/>
      <c r="AB71" s="39"/>
      <c r="AC71" s="3"/>
      <c r="AD71" s="3"/>
      <c r="AE71" s="39"/>
      <c r="AF71" s="3"/>
      <c r="AG71" s="3"/>
      <c r="AH71" s="39"/>
      <c r="AI71" s="3"/>
      <c r="AJ71" s="3"/>
      <c r="AK71" s="39"/>
      <c r="AL71" s="3"/>
    </row>
    <row r="72" spans="1:38" ht="15.75" customHeight="1" x14ac:dyDescent="0.25">
      <c r="A72" s="3"/>
      <c r="B72" s="3"/>
      <c r="C72" s="3"/>
      <c r="D72" s="3"/>
      <c r="E72" s="3"/>
      <c r="F72" s="3"/>
      <c r="G72" s="3"/>
      <c r="H72" s="3"/>
      <c r="I72" s="3"/>
      <c r="J72" s="3"/>
      <c r="K72" s="3"/>
      <c r="L72" s="3"/>
      <c r="M72" s="3"/>
      <c r="N72" s="3"/>
      <c r="O72" s="39"/>
      <c r="P72" s="3"/>
      <c r="Q72" s="3"/>
      <c r="R72" s="3"/>
      <c r="S72" s="3"/>
      <c r="T72" s="3"/>
      <c r="U72" s="39"/>
      <c r="V72" s="3"/>
      <c r="W72" s="3"/>
      <c r="X72" s="39"/>
      <c r="Y72" s="39"/>
      <c r="Z72" s="3"/>
      <c r="AA72" s="3"/>
      <c r="AB72" s="39"/>
      <c r="AC72" s="3"/>
      <c r="AD72" s="3"/>
      <c r="AE72" s="39"/>
      <c r="AF72" s="3"/>
      <c r="AG72" s="3"/>
      <c r="AH72" s="39"/>
      <c r="AI72" s="3"/>
      <c r="AJ72" s="3"/>
      <c r="AK72" s="39"/>
      <c r="AL72" s="3"/>
    </row>
    <row r="73" spans="1:38" ht="15.75" customHeight="1" x14ac:dyDescent="0.25">
      <c r="A73" s="3"/>
      <c r="B73" s="3"/>
      <c r="C73" s="3"/>
      <c r="D73" s="3"/>
      <c r="E73" s="3"/>
      <c r="F73" s="3"/>
      <c r="G73" s="3"/>
      <c r="H73" s="3"/>
      <c r="I73" s="3"/>
      <c r="J73" s="3"/>
      <c r="K73" s="3"/>
      <c r="L73" s="3"/>
      <c r="M73" s="3"/>
      <c r="N73" s="3"/>
      <c r="O73" s="39"/>
      <c r="P73" s="3"/>
      <c r="Q73" s="3"/>
      <c r="R73" s="3"/>
      <c r="S73" s="3"/>
      <c r="T73" s="3"/>
      <c r="U73" s="39"/>
      <c r="V73" s="3"/>
      <c r="W73" s="3"/>
      <c r="X73" s="39"/>
      <c r="Y73" s="39"/>
      <c r="Z73" s="3"/>
      <c r="AA73" s="3"/>
      <c r="AB73" s="39"/>
      <c r="AC73" s="3"/>
      <c r="AD73" s="3"/>
      <c r="AE73" s="39"/>
      <c r="AF73" s="3"/>
      <c r="AG73" s="3"/>
      <c r="AH73" s="39"/>
      <c r="AI73" s="3"/>
      <c r="AJ73" s="3"/>
      <c r="AK73" s="39"/>
      <c r="AL73" s="3"/>
    </row>
    <row r="74" spans="1:38" ht="15.75" customHeight="1" x14ac:dyDescent="0.25">
      <c r="A74" s="3"/>
      <c r="B74" s="3"/>
      <c r="C74" s="3"/>
      <c r="D74" s="3"/>
      <c r="E74" s="3"/>
      <c r="F74" s="3"/>
      <c r="G74" s="3"/>
      <c r="H74" s="3"/>
      <c r="I74" s="3"/>
      <c r="J74" s="3"/>
      <c r="K74" s="3"/>
      <c r="L74" s="3"/>
      <c r="M74" s="3"/>
      <c r="N74" s="3"/>
      <c r="O74" s="39"/>
      <c r="P74" s="3"/>
      <c r="Q74" s="3"/>
      <c r="R74" s="3"/>
      <c r="S74" s="3"/>
      <c r="T74" s="3"/>
      <c r="U74" s="39"/>
      <c r="V74" s="3"/>
      <c r="W74" s="3"/>
      <c r="X74" s="39"/>
      <c r="Y74" s="39"/>
      <c r="Z74" s="3"/>
      <c r="AA74" s="3"/>
      <c r="AB74" s="39"/>
      <c r="AC74" s="3"/>
      <c r="AD74" s="3"/>
      <c r="AE74" s="39"/>
      <c r="AF74" s="3"/>
      <c r="AG74" s="3"/>
      <c r="AH74" s="39"/>
      <c r="AI74" s="3"/>
      <c r="AJ74" s="3"/>
      <c r="AK74" s="39"/>
      <c r="AL74" s="3"/>
    </row>
    <row r="75" spans="1:38" ht="15.75" customHeight="1" x14ac:dyDescent="0.25">
      <c r="A75" s="3"/>
      <c r="B75" s="3"/>
      <c r="C75" s="3"/>
      <c r="D75" s="3"/>
      <c r="E75" s="3"/>
      <c r="F75" s="3"/>
      <c r="G75" s="3"/>
      <c r="H75" s="3"/>
      <c r="I75" s="3"/>
      <c r="J75" s="3"/>
      <c r="K75" s="3"/>
      <c r="L75" s="3"/>
      <c r="M75" s="3"/>
      <c r="N75" s="3"/>
      <c r="O75" s="39"/>
      <c r="P75" s="3"/>
      <c r="Q75" s="3"/>
      <c r="R75" s="3"/>
      <c r="S75" s="3"/>
      <c r="T75" s="3"/>
      <c r="U75" s="39"/>
      <c r="V75" s="3"/>
      <c r="W75" s="3"/>
      <c r="X75" s="39"/>
      <c r="Y75" s="39"/>
      <c r="Z75" s="3"/>
      <c r="AA75" s="3"/>
      <c r="AB75" s="39"/>
      <c r="AC75" s="3"/>
      <c r="AD75" s="3"/>
      <c r="AE75" s="39"/>
      <c r="AF75" s="3"/>
      <c r="AG75" s="3"/>
      <c r="AH75" s="39"/>
      <c r="AI75" s="3"/>
      <c r="AJ75" s="3"/>
      <c r="AK75" s="39"/>
      <c r="AL75" s="3"/>
    </row>
    <row r="76" spans="1:38"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row>
    <row r="77" spans="1:38"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row>
    <row r="78" spans="1:38"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row>
    <row r="79" spans="1:38"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row>
    <row r="80" spans="1:38"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row>
    <row r="81" spans="1:38"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row>
    <row r="82" spans="1:38"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row>
    <row r="83" spans="1:38"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row>
    <row r="84" spans="1:38"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row>
    <row r="85" spans="1:38"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row>
    <row r="86" spans="1:38"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row>
    <row r="87" spans="1:38"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row>
    <row r="88" spans="1:38"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row>
    <row r="89" spans="1:38"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row>
    <row r="90" spans="1:38"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row>
    <row r="91" spans="1:38"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row>
    <row r="92" spans="1:38"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row>
    <row r="93" spans="1:38"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row>
    <row r="94" spans="1:38"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row>
    <row r="95" spans="1:38"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row>
    <row r="96" spans="1:38"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row>
    <row r="97" spans="1:38"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row>
    <row r="98" spans="1:38"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row>
    <row r="99" spans="1:38"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row>
    <row r="100" spans="1:38"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row>
    <row r="101" spans="1:38"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row>
    <row r="102" spans="1:38"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row>
    <row r="103" spans="1:38"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row>
    <row r="104" spans="1:38"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row>
    <row r="105" spans="1:38"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row>
    <row r="106" spans="1:38"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row>
    <row r="107" spans="1:38"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row>
    <row r="108" spans="1:38"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row>
    <row r="109" spans="1:38"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row>
    <row r="110" spans="1:38"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row>
    <row r="111" spans="1:38"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row>
    <row r="112" spans="1:38"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row>
    <row r="113" spans="1:38"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row>
    <row r="114" spans="1:38"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row>
    <row r="115" spans="1:38"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row>
    <row r="116" spans="1:38"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row>
    <row r="117" spans="1:38"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row>
    <row r="118" spans="1:38"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row>
    <row r="119" spans="1:38"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row>
    <row r="120" spans="1:38"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row>
    <row r="121" spans="1:38"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row>
    <row r="122" spans="1:38"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row>
    <row r="123" spans="1:38"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row>
    <row r="124" spans="1:38"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row>
    <row r="125" spans="1:38"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row>
    <row r="126" spans="1:38"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row>
    <row r="127" spans="1:38"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row>
    <row r="128" spans="1:38"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row>
    <row r="129" spans="1:38"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row>
    <row r="130" spans="1:38"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row>
    <row r="131" spans="1:38"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row>
    <row r="132" spans="1:38"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row>
    <row r="133" spans="1:38"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row>
    <row r="134" spans="1:38"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row>
    <row r="135" spans="1:38"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row>
    <row r="136" spans="1:38"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row>
    <row r="137" spans="1:38"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row>
    <row r="138" spans="1:38"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row>
    <row r="139" spans="1:38"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row>
    <row r="140" spans="1:38"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row>
    <row r="141" spans="1:38"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row>
    <row r="142" spans="1:38"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row>
    <row r="143" spans="1:38"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row>
    <row r="144" spans="1:38"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row>
    <row r="145" spans="1:38"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row>
    <row r="146" spans="1:38"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row>
    <row r="147" spans="1:38"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row>
    <row r="148" spans="1:38"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row>
    <row r="149" spans="1:38"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row>
    <row r="150" spans="1:38"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row>
    <row r="151" spans="1:38"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row>
    <row r="152" spans="1:38"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row>
    <row r="153" spans="1:38"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row>
    <row r="154" spans="1:38"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row>
    <row r="155" spans="1:38"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row>
    <row r="156" spans="1:38"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row>
    <row r="157" spans="1:38"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row>
    <row r="158" spans="1:38"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row>
    <row r="159" spans="1:38"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row>
    <row r="160" spans="1:38"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row>
    <row r="161" spans="1:38"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row>
    <row r="162" spans="1:38"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row>
    <row r="163" spans="1:38"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row>
    <row r="164" spans="1:38"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row>
    <row r="165" spans="1:38"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row>
    <row r="166" spans="1:38"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row>
    <row r="167" spans="1:38"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row>
    <row r="168" spans="1:38"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row>
    <row r="169" spans="1:38"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row>
    <row r="170" spans="1:38"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row>
    <row r="171" spans="1:38"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row>
    <row r="172" spans="1:38"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row>
    <row r="173" spans="1:38"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row>
    <row r="174" spans="1:38"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row>
    <row r="175" spans="1:38"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row>
    <row r="176" spans="1:38"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row>
    <row r="177" spans="1:38"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row>
    <row r="178" spans="1:38"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row>
    <row r="179" spans="1:38"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row>
    <row r="180" spans="1:38"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row>
    <row r="181" spans="1:38"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row>
    <row r="182" spans="1:38"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row>
    <row r="183" spans="1:38"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row>
    <row r="184" spans="1:38"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row>
    <row r="185" spans="1:38"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row>
    <row r="186" spans="1:38"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row>
    <row r="187" spans="1:38"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row>
    <row r="188" spans="1:38"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row>
    <row r="189" spans="1:38"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row>
    <row r="190" spans="1:38"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row>
    <row r="191" spans="1:38"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row>
    <row r="192" spans="1:38"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row>
    <row r="193" spans="1:38"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row>
    <row r="194" spans="1:38"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row>
    <row r="195" spans="1:38"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row>
    <row r="196" spans="1:38"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row>
    <row r="197" spans="1:38"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row>
    <row r="198" spans="1:38"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row>
    <row r="199" spans="1:38"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row>
    <row r="200" spans="1:38"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row>
    <row r="201" spans="1:38"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row>
    <row r="202" spans="1:38"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row>
    <row r="203" spans="1:38"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row>
    <row r="204" spans="1:38"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row>
    <row r="205" spans="1:38"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row>
    <row r="206" spans="1:38"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row>
    <row r="207" spans="1:38"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row>
    <row r="208" spans="1:38"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row>
    <row r="209" spans="1:38"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row>
    <row r="210" spans="1:38"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row>
    <row r="211" spans="1:38"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row>
    <row r="212" spans="1:38"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row>
    <row r="213" spans="1:38"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row>
    <row r="214" spans="1:38"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row>
    <row r="215" spans="1:38"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row>
    <row r="216" spans="1:38"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row>
    <row r="217" spans="1:38"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row>
    <row r="218" spans="1:38"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row>
    <row r="219" spans="1:38"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row>
    <row r="220" spans="1:38"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row>
    <row r="221" spans="1:38"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row>
    <row r="222" spans="1:38"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row>
    <row r="223" spans="1:38"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row>
    <row r="224" spans="1:38"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row>
    <row r="225" spans="1:38"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row>
    <row r="226" spans="1:38"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row>
    <row r="227" spans="1:38"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row>
    <row r="228" spans="1:38"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row>
    <row r="229" spans="1:38"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row>
    <row r="230" spans="1:38"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row>
    <row r="231" spans="1:38"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row>
    <row r="232" spans="1:38"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row>
    <row r="233" spans="1:38"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row>
    <row r="234" spans="1:38"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row>
    <row r="235" spans="1:38"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row>
    <row r="236" spans="1:38"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row>
    <row r="237" spans="1:38"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row>
    <row r="238" spans="1:38"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row>
    <row r="239" spans="1:38"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row>
    <row r="240" spans="1:38"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row>
    <row r="241" spans="1:38"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row>
    <row r="242" spans="1:38"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row>
    <row r="243" spans="1:38"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row>
    <row r="244" spans="1:38"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row>
    <row r="245" spans="1:38"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row>
    <row r="246" spans="1:38"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row>
    <row r="247" spans="1:38"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row>
    <row r="248" spans="1:38"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row>
    <row r="249" spans="1:38"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row>
    <row r="250" spans="1:38"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row>
    <row r="251" spans="1:38"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row>
    <row r="252" spans="1:38"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row>
    <row r="253" spans="1:38"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row>
    <row r="254" spans="1:38"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row>
    <row r="255" spans="1:38"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row>
    <row r="256" spans="1:38"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row>
    <row r="257" spans="1:38"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row>
    <row r="258" spans="1:38"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row>
    <row r="259" spans="1:38"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row>
    <row r="260" spans="1:38"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row>
    <row r="261" spans="1:38"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row>
    <row r="262" spans="1:38"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row>
    <row r="263" spans="1:38"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row>
    <row r="264" spans="1:38"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row>
    <row r="265" spans="1:38"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row>
    <row r="266" spans="1:38"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row>
    <row r="267" spans="1:38"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row>
    <row r="268" spans="1:38"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row>
    <row r="269" spans="1:38"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row>
    <row r="270" spans="1:38"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row>
    <row r="271" spans="1:38"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row>
    <row r="272" spans="1:38"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row>
    <row r="273" spans="1:38"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row>
    <row r="274" spans="1:38"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row>
    <row r="275" spans="1:38"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row>
    <row r="276" spans="1:38"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row>
    <row r="277" spans="1:38"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row>
    <row r="278" spans="1:38"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row>
    <row r="279" spans="1:38"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row>
    <row r="280" spans="1:38"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row>
    <row r="281" spans="1:38"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row>
    <row r="282" spans="1:38"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row>
    <row r="283" spans="1:38"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row>
    <row r="284" spans="1:38"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row>
    <row r="285" spans="1:38"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row>
    <row r="286" spans="1:38"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row>
    <row r="287" spans="1:38"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row>
    <row r="288" spans="1:38"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row>
    <row r="289" spans="1:38"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row>
    <row r="290" spans="1:38"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row>
    <row r="291" spans="1:38"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row>
    <row r="292" spans="1:38"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row>
    <row r="293" spans="1:38"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row>
    <row r="294" spans="1:38"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row>
    <row r="295" spans="1:38"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row>
    <row r="296" spans="1:38"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row>
    <row r="297" spans="1:38"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row>
    <row r="298" spans="1:38"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row>
    <row r="299" spans="1:38"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row>
    <row r="300" spans="1:38"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row>
    <row r="301" spans="1:38"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row>
    <row r="302" spans="1:38"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row>
    <row r="303" spans="1:38"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row>
    <row r="304" spans="1:38"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row>
    <row r="305" spans="1:38"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row>
    <row r="306" spans="1:38"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row>
    <row r="307" spans="1:38"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row>
    <row r="308" spans="1:38"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row>
    <row r="309" spans="1:38"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row>
    <row r="310" spans="1:38"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row>
    <row r="311" spans="1:38"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row>
    <row r="312" spans="1:38"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row>
    <row r="313" spans="1:38"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row>
    <row r="314" spans="1:38"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row>
    <row r="315" spans="1:38"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row>
    <row r="316" spans="1:38"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row>
    <row r="317" spans="1:38"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row>
    <row r="318" spans="1:38"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row>
    <row r="319" spans="1:38"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row>
    <row r="320" spans="1:38"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row>
    <row r="321" spans="1:38"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row>
    <row r="322" spans="1:38"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row>
    <row r="323" spans="1:38"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row>
    <row r="324" spans="1:38"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row>
    <row r="325" spans="1:38"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row>
    <row r="326" spans="1:38"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row>
    <row r="327" spans="1:38"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row>
    <row r="328" spans="1:38"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row>
    <row r="329" spans="1:38"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row>
    <row r="330" spans="1:38"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row>
    <row r="331" spans="1:38"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row>
    <row r="332" spans="1:38"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row>
    <row r="333" spans="1:38"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row>
    <row r="334" spans="1:38"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row>
    <row r="335" spans="1:38"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row>
    <row r="336" spans="1:38"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row>
    <row r="337" spans="1:38"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row>
    <row r="338" spans="1:38"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row>
    <row r="339" spans="1:38"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row>
    <row r="340" spans="1:38"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row>
    <row r="341" spans="1:38"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row>
    <row r="342" spans="1:38"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row>
    <row r="343" spans="1:38"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row>
    <row r="344" spans="1:38"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row>
    <row r="345" spans="1:38"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row>
    <row r="346" spans="1:38"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row>
    <row r="347" spans="1:38"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row>
    <row r="348" spans="1:38"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row>
    <row r="349" spans="1:38"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row>
    <row r="350" spans="1:38"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row>
    <row r="351" spans="1:38"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row>
    <row r="352" spans="1:38"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row>
    <row r="353" spans="1:38"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row>
    <row r="354" spans="1:38"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row>
    <row r="355" spans="1:38"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row>
    <row r="356" spans="1:38"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row>
    <row r="357" spans="1:38"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row>
    <row r="358" spans="1:38"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row>
    <row r="359" spans="1:38"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row>
    <row r="360" spans="1:38"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row>
    <row r="361" spans="1:38"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row>
    <row r="362" spans="1:38"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row>
    <row r="363" spans="1:38"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row>
    <row r="364" spans="1:38"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row>
    <row r="365" spans="1:38"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row>
    <row r="366" spans="1:38"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row>
    <row r="367" spans="1:38"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row>
    <row r="368" spans="1:38"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row>
    <row r="369" spans="1:38"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row>
    <row r="370" spans="1:38"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row>
    <row r="371" spans="1:38"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row>
    <row r="372" spans="1:38"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row>
    <row r="373" spans="1:38"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row>
    <row r="374" spans="1:38"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row>
    <row r="375" spans="1:38"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row>
    <row r="376" spans="1:38"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row>
    <row r="377" spans="1:38"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row>
    <row r="378" spans="1:38"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row>
    <row r="379" spans="1:38"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row>
    <row r="380" spans="1:38"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row>
    <row r="381" spans="1:38"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row>
    <row r="382" spans="1:38"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row>
    <row r="383" spans="1:38"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row>
    <row r="384" spans="1:38"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row>
    <row r="385" spans="1:38"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row>
    <row r="386" spans="1:38"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row>
    <row r="387" spans="1:38"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row>
    <row r="388" spans="1:38"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row>
    <row r="389" spans="1:38"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row>
    <row r="390" spans="1:38"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row>
    <row r="391" spans="1:38"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row>
    <row r="392" spans="1:38"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row>
    <row r="393" spans="1:38"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row>
    <row r="394" spans="1:38"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row>
    <row r="395" spans="1:38"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row>
    <row r="396" spans="1:38"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row>
    <row r="397" spans="1:38"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row>
    <row r="398" spans="1:38"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row>
    <row r="399" spans="1:38"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row>
    <row r="400" spans="1:38"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row>
    <row r="401" spans="1:38"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row>
    <row r="402" spans="1:38"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row>
    <row r="403" spans="1:38"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row>
    <row r="404" spans="1:38"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row>
    <row r="405" spans="1:38"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row>
    <row r="406" spans="1:38"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row>
    <row r="407" spans="1:38"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row>
    <row r="408" spans="1:38"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row>
    <row r="409" spans="1:38"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row>
    <row r="410" spans="1:38"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row>
    <row r="411" spans="1:38"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row>
    <row r="412" spans="1:38"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row>
    <row r="413" spans="1:38"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row>
    <row r="414" spans="1:38"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row>
    <row r="415" spans="1:38"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row>
    <row r="416" spans="1:38"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row>
    <row r="417" spans="1:38"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row>
    <row r="418" spans="1:38"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row>
    <row r="419" spans="1:38"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row>
    <row r="420" spans="1:38"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row>
    <row r="421" spans="1:38"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row>
    <row r="422" spans="1:38"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row>
    <row r="423" spans="1:38"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row>
    <row r="424" spans="1:38"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row>
    <row r="425" spans="1:38"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row>
    <row r="426" spans="1:38"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row>
    <row r="427" spans="1:38"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row>
    <row r="428" spans="1:38"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row>
    <row r="429" spans="1:38"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row>
    <row r="430" spans="1:38"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row>
    <row r="431" spans="1:38"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row>
    <row r="432" spans="1:38"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row>
    <row r="433" spans="1:38"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row>
    <row r="434" spans="1:38"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row>
    <row r="435" spans="1:38"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row>
    <row r="436" spans="1:38"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row>
    <row r="437" spans="1:38"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row>
    <row r="438" spans="1:38"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row>
    <row r="439" spans="1:38"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row>
    <row r="440" spans="1:38"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row>
    <row r="441" spans="1:38"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row>
    <row r="442" spans="1:38"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row>
    <row r="443" spans="1:38"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row>
    <row r="444" spans="1:38"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row>
    <row r="445" spans="1:38"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row>
    <row r="446" spans="1:38"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row>
    <row r="447" spans="1:38"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row>
    <row r="448" spans="1:38"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row>
    <row r="449" spans="1:38"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row>
    <row r="450" spans="1:38"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row>
    <row r="451" spans="1:38"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row>
    <row r="452" spans="1:38"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row>
    <row r="453" spans="1:38"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row>
    <row r="454" spans="1:38"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row>
    <row r="455" spans="1:38"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row>
    <row r="456" spans="1:38"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row>
    <row r="457" spans="1:38"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row>
    <row r="458" spans="1:38"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row>
    <row r="459" spans="1:38"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row>
    <row r="460" spans="1:38"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row>
    <row r="461" spans="1:38"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row>
    <row r="462" spans="1:38"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row>
    <row r="463" spans="1:38"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row>
    <row r="464" spans="1:38"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row>
    <row r="465" spans="1:38"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row>
    <row r="466" spans="1:38"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row>
    <row r="467" spans="1:38"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row>
    <row r="468" spans="1:38"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row>
    <row r="469" spans="1:38"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row>
    <row r="470" spans="1:38"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row>
    <row r="471" spans="1:38"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row>
    <row r="472" spans="1:38"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row>
    <row r="473" spans="1:38"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row>
    <row r="474" spans="1:38"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row>
    <row r="475" spans="1:38"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row>
    <row r="476" spans="1:38"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row>
    <row r="477" spans="1:38"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row>
    <row r="478" spans="1:38"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row>
    <row r="479" spans="1:38"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row>
    <row r="480" spans="1:38"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row>
    <row r="481" spans="1:38"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row>
    <row r="482" spans="1:38"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row>
    <row r="483" spans="1:38"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row>
    <row r="484" spans="1:38"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row>
    <row r="485" spans="1:38"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row>
    <row r="486" spans="1:38"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row>
    <row r="487" spans="1:38"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row>
    <row r="488" spans="1:38"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row>
    <row r="489" spans="1:38"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row>
    <row r="490" spans="1:38"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row>
    <row r="491" spans="1:38"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row>
    <row r="492" spans="1:38"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row>
    <row r="493" spans="1:38"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row>
    <row r="494" spans="1:38"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row>
    <row r="495" spans="1:38"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row>
    <row r="496" spans="1:38"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row>
    <row r="497" spans="1:38"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row>
    <row r="498" spans="1:38"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row>
    <row r="499" spans="1:38"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row>
    <row r="500" spans="1:38"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row>
    <row r="501" spans="1:38"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row>
    <row r="502" spans="1:38"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row>
    <row r="503" spans="1:38"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row>
    <row r="504" spans="1:38"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row>
    <row r="505" spans="1:38"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row>
    <row r="506" spans="1:38"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row>
    <row r="507" spans="1:38"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row>
    <row r="508" spans="1:38"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row>
    <row r="509" spans="1:38"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row>
    <row r="510" spans="1:38"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row>
    <row r="511" spans="1:38"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row>
    <row r="512" spans="1:38"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row>
    <row r="513" spans="1:38"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row>
    <row r="514" spans="1:38"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row>
    <row r="515" spans="1:38"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row>
    <row r="516" spans="1:38"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row>
    <row r="517" spans="1:38"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row>
    <row r="518" spans="1:38"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row>
    <row r="519" spans="1:38"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row>
    <row r="520" spans="1:38"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row>
    <row r="521" spans="1:38"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row>
    <row r="522" spans="1:38"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row>
    <row r="523" spans="1:38"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row>
    <row r="524" spans="1:38"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row>
    <row r="525" spans="1:38"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row>
    <row r="526" spans="1:38"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row>
    <row r="527" spans="1:38"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row>
    <row r="528" spans="1:38"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row>
    <row r="529" spans="1:38"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row>
    <row r="530" spans="1:38"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row>
    <row r="531" spans="1:38"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row>
    <row r="532" spans="1:38"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row>
    <row r="533" spans="1:38"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row>
    <row r="534" spans="1:38"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row>
    <row r="535" spans="1:38"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row>
    <row r="536" spans="1:38"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row>
    <row r="537" spans="1:38"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row>
    <row r="538" spans="1:38"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row>
    <row r="539" spans="1:38"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row>
    <row r="540" spans="1:38"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row>
    <row r="541" spans="1:38"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row>
    <row r="542" spans="1:38"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row>
    <row r="543" spans="1:38"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row>
    <row r="544" spans="1:38"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row>
    <row r="545" spans="1:38"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row>
    <row r="546" spans="1:38"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row>
    <row r="547" spans="1:38"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row>
    <row r="548" spans="1:38"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row>
    <row r="549" spans="1:38"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row>
    <row r="550" spans="1:38"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row>
    <row r="551" spans="1:38"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row>
    <row r="552" spans="1:38"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row>
    <row r="553" spans="1:38"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row>
    <row r="554" spans="1:38"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row>
    <row r="555" spans="1:38"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row>
    <row r="556" spans="1:38"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row>
    <row r="557" spans="1:38"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row>
    <row r="558" spans="1:38"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row>
    <row r="559" spans="1:38"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row>
    <row r="560" spans="1:38"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row>
    <row r="561" spans="1:38"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row>
    <row r="562" spans="1:38"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row>
    <row r="563" spans="1:38"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row>
    <row r="564" spans="1:38"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row>
    <row r="565" spans="1:38"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row>
    <row r="566" spans="1:38"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row>
    <row r="567" spans="1:38"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row>
    <row r="568" spans="1:38"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row>
    <row r="569" spans="1:38"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row>
    <row r="570" spans="1:38"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row>
    <row r="571" spans="1:38"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row>
    <row r="572" spans="1:38"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row>
    <row r="573" spans="1:38"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row>
    <row r="574" spans="1:38"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row>
    <row r="575" spans="1:38"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row>
    <row r="576" spans="1:38"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row>
    <row r="577" spans="1:38"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row>
    <row r="578" spans="1:38"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row>
    <row r="579" spans="1:38"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row>
    <row r="580" spans="1:38"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row>
    <row r="581" spans="1:38"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row>
    <row r="582" spans="1:38"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row>
    <row r="583" spans="1:38"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row>
    <row r="584" spans="1:38"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row>
    <row r="585" spans="1:38"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row>
    <row r="586" spans="1:38"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row>
    <row r="587" spans="1:38"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row>
    <row r="588" spans="1:38"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row>
    <row r="589" spans="1:38"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row>
    <row r="590" spans="1:38"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row>
    <row r="591" spans="1:38"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row>
    <row r="592" spans="1:38"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row>
    <row r="593" spans="1:38"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row>
    <row r="594" spans="1:38"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row>
    <row r="595" spans="1:38"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row>
    <row r="596" spans="1:38"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row>
    <row r="597" spans="1:38"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row>
    <row r="598" spans="1:38"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row>
    <row r="599" spans="1:38"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row>
    <row r="600" spans="1:38"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row>
    <row r="601" spans="1:38"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row>
    <row r="602" spans="1:38"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row>
    <row r="603" spans="1:38"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row>
    <row r="604" spans="1:38"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row>
    <row r="605" spans="1:38"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row>
    <row r="606" spans="1:38"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row>
    <row r="607" spans="1:38"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row>
    <row r="608" spans="1:38"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row>
    <row r="609" spans="1:38"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row>
    <row r="610" spans="1:38"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row>
    <row r="611" spans="1:38"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row>
    <row r="612" spans="1:38"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row>
    <row r="613" spans="1:38"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row>
    <row r="614" spans="1:38"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row>
    <row r="615" spans="1:38"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row>
    <row r="616" spans="1:38"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row>
    <row r="617" spans="1:38"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row>
    <row r="618" spans="1:38"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row>
    <row r="619" spans="1:38"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row>
    <row r="620" spans="1:38"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row>
    <row r="621" spans="1:38"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row>
    <row r="622" spans="1:38"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row>
    <row r="623" spans="1:38"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row>
    <row r="624" spans="1:38"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row>
    <row r="625" spans="1:38"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row>
    <row r="626" spans="1:38"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row>
    <row r="627" spans="1:38"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row>
    <row r="628" spans="1:38"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row>
    <row r="629" spans="1:38"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row>
    <row r="630" spans="1:38"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row>
    <row r="631" spans="1:38"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row>
    <row r="632" spans="1:38"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row>
    <row r="633" spans="1:38"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row>
    <row r="634" spans="1:38"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row>
    <row r="635" spans="1:38"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row>
    <row r="636" spans="1:38"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row>
    <row r="637" spans="1:38"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row>
    <row r="638" spans="1:38"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row>
    <row r="639" spans="1:38"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row>
    <row r="640" spans="1:38"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row>
    <row r="641" spans="1:38"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row>
    <row r="642" spans="1:38"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row>
    <row r="643" spans="1:38"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row>
    <row r="644" spans="1:38"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row>
    <row r="645" spans="1:38"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row>
    <row r="646" spans="1:38"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row>
    <row r="647" spans="1:38"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row>
    <row r="648" spans="1:38"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row>
    <row r="649" spans="1:38"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row>
    <row r="650" spans="1:38"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row>
    <row r="651" spans="1:38"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row>
    <row r="652" spans="1:38"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row>
    <row r="653" spans="1:38"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row>
    <row r="654" spans="1:38"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row>
    <row r="655" spans="1:38"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row>
    <row r="656" spans="1:38"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row>
    <row r="657" spans="1:38"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row>
    <row r="658" spans="1:38"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row>
    <row r="659" spans="1:38"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row>
    <row r="660" spans="1:38"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row>
    <row r="661" spans="1:38"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row>
    <row r="662" spans="1:38"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row>
    <row r="663" spans="1:38"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row>
    <row r="664" spans="1:38"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row>
    <row r="665" spans="1:38"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row>
    <row r="666" spans="1:38"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row>
    <row r="667" spans="1:38"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row>
    <row r="668" spans="1:38"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row>
    <row r="669" spans="1:38"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row>
    <row r="670" spans="1:38"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row>
    <row r="671" spans="1:38"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row>
    <row r="672" spans="1:38"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row>
    <row r="673" spans="1:38"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row>
    <row r="674" spans="1:38"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row>
    <row r="675" spans="1:38"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row>
    <row r="676" spans="1:38"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row>
    <row r="677" spans="1:38"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row>
    <row r="678" spans="1:38"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row>
    <row r="679" spans="1:38"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row>
    <row r="680" spans="1:38"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row>
    <row r="681" spans="1:38"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row>
    <row r="682" spans="1:38"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row>
    <row r="683" spans="1:38"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row>
    <row r="684" spans="1:38"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row>
    <row r="685" spans="1:38"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row>
    <row r="686" spans="1:38"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row>
    <row r="687" spans="1:38"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row>
    <row r="688" spans="1:38"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row>
    <row r="689" spans="1:38"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row>
    <row r="690" spans="1:38"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row>
    <row r="691" spans="1:38"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row>
    <row r="692" spans="1:38"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row>
    <row r="693" spans="1:38"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row>
    <row r="694" spans="1:38"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row>
    <row r="695" spans="1:38"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row>
    <row r="696" spans="1:38"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row>
    <row r="697" spans="1:38"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row>
    <row r="698" spans="1:38"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row>
    <row r="699" spans="1:38"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row>
    <row r="700" spans="1:38"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row>
    <row r="701" spans="1:38"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row>
    <row r="702" spans="1:38"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row>
    <row r="703" spans="1:38"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row>
    <row r="704" spans="1:38"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row>
    <row r="705" spans="1:38"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row>
    <row r="706" spans="1:38"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row>
    <row r="707" spans="1:38"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row>
    <row r="708" spans="1:38"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row>
    <row r="709" spans="1:38"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row>
    <row r="710" spans="1:38"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row>
    <row r="711" spans="1:38"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row>
    <row r="712" spans="1:38"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row>
    <row r="713" spans="1:38"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row>
    <row r="714" spans="1:38"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row>
    <row r="715" spans="1:38"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row>
    <row r="716" spans="1:38"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row>
    <row r="717" spans="1:38"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row>
    <row r="718" spans="1:38"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row>
    <row r="719" spans="1:38"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row>
    <row r="720" spans="1:38"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row>
    <row r="721" spans="1:38"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row>
    <row r="722" spans="1:38"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row>
    <row r="723" spans="1:38"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row>
    <row r="724" spans="1:38"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row>
    <row r="725" spans="1:38"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row>
    <row r="726" spans="1:38"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row>
    <row r="727" spans="1:38"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row>
    <row r="728" spans="1:38"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row>
    <row r="729" spans="1:38"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row>
    <row r="730" spans="1:38"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row>
    <row r="731" spans="1:38"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row>
    <row r="732" spans="1:38"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row>
    <row r="733" spans="1:38"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row>
    <row r="734" spans="1:38"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row>
    <row r="735" spans="1:38"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row>
    <row r="736" spans="1:38"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row>
    <row r="737" spans="1:38"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row>
    <row r="738" spans="1:38"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row>
    <row r="739" spans="1:38"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row>
    <row r="740" spans="1:38"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row>
    <row r="741" spans="1:38"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row>
    <row r="742" spans="1:38"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row>
    <row r="743" spans="1:38"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row>
    <row r="744" spans="1:38"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row>
    <row r="745" spans="1:38"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row>
    <row r="746" spans="1:38"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row>
    <row r="747" spans="1:38"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row>
    <row r="748" spans="1:38"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row>
    <row r="749" spans="1:38"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row>
    <row r="750" spans="1:38"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row>
    <row r="751" spans="1:38"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row>
    <row r="752" spans="1:38"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row>
    <row r="753" spans="1:38"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row>
    <row r="754" spans="1:38"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row>
    <row r="755" spans="1:38"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row>
    <row r="756" spans="1:38"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row>
    <row r="757" spans="1:38"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row>
    <row r="758" spans="1:38"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row>
    <row r="759" spans="1:38"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row>
    <row r="760" spans="1:38"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row>
    <row r="761" spans="1:38"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row>
    <row r="762" spans="1:38"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row>
    <row r="763" spans="1:38"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row>
    <row r="764" spans="1:38"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row>
    <row r="765" spans="1:38"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row>
    <row r="766" spans="1:38"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row>
    <row r="767" spans="1:38"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row>
    <row r="768" spans="1:38"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row>
    <row r="769" spans="1:38"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row>
    <row r="770" spans="1:38"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row>
    <row r="771" spans="1:38"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row>
    <row r="772" spans="1:38"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row>
    <row r="773" spans="1:38"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row>
    <row r="774" spans="1:38"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row>
    <row r="775" spans="1:38"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row>
    <row r="776" spans="1:38"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row>
    <row r="777" spans="1:38"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row>
    <row r="778" spans="1:38"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row>
    <row r="779" spans="1:38"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row>
    <row r="780" spans="1:38"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row>
    <row r="781" spans="1:38"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row>
    <row r="782" spans="1:38"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row>
    <row r="783" spans="1:38"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row>
    <row r="784" spans="1:38"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row>
    <row r="785" spans="1:38"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row>
    <row r="786" spans="1:38"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row>
    <row r="787" spans="1:38"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row>
    <row r="788" spans="1:38"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row>
    <row r="789" spans="1:38"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row>
    <row r="790" spans="1:38"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row>
    <row r="791" spans="1:38"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row>
    <row r="792" spans="1:38"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row>
    <row r="793" spans="1:38"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row>
    <row r="794" spans="1:38"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row>
    <row r="795" spans="1:38"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row>
    <row r="796" spans="1:38"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row>
    <row r="797" spans="1:38"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row>
    <row r="798" spans="1:38"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row>
    <row r="799" spans="1:38"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row>
    <row r="800" spans="1:38"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row>
    <row r="801" spans="1:38"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row>
    <row r="802" spans="1:38"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row>
    <row r="803" spans="1:38"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row>
    <row r="804" spans="1:38"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row>
    <row r="805" spans="1:38"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row>
    <row r="806" spans="1:38"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row>
    <row r="807" spans="1:38"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row>
    <row r="808" spans="1:38"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row>
    <row r="809" spans="1:38"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row>
    <row r="810" spans="1:38"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row>
    <row r="811" spans="1:38"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row>
    <row r="812" spans="1:38"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row>
    <row r="813" spans="1:38"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row>
    <row r="814" spans="1:38"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row>
    <row r="815" spans="1:38"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row>
    <row r="816" spans="1:38"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row>
    <row r="817" spans="1:38"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row>
    <row r="818" spans="1:38"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row>
    <row r="819" spans="1:38"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row>
    <row r="820" spans="1:38"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row>
    <row r="821" spans="1:38"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row>
    <row r="822" spans="1:38"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row>
    <row r="823" spans="1:38"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row>
    <row r="824" spans="1:38"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row>
    <row r="825" spans="1:38"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row>
    <row r="826" spans="1:38"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row>
    <row r="827" spans="1:38"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row>
    <row r="828" spans="1:38"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row>
    <row r="829" spans="1:38"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row>
    <row r="830" spans="1:38"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row>
    <row r="831" spans="1:38"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row>
    <row r="832" spans="1:38"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row>
    <row r="833" spans="1:38"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row>
    <row r="834" spans="1:38"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row>
    <row r="835" spans="1:38"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row>
    <row r="836" spans="1:38"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row>
    <row r="837" spans="1:38"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row>
    <row r="838" spans="1:38"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row>
    <row r="839" spans="1:38"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row>
    <row r="840" spans="1:38"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row>
    <row r="841" spans="1:38"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row>
    <row r="842" spans="1:38"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row>
    <row r="843" spans="1:38"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row>
    <row r="844" spans="1:38"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row>
    <row r="845" spans="1:38"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row>
    <row r="846" spans="1:38"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row>
    <row r="847" spans="1:38"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row>
    <row r="848" spans="1:38"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row>
    <row r="849" spans="1:38"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row>
    <row r="850" spans="1:38"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row>
    <row r="851" spans="1:38"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row>
    <row r="852" spans="1:38"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row>
    <row r="853" spans="1:38"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row>
    <row r="854" spans="1:38"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row>
    <row r="855" spans="1:38"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row>
    <row r="856" spans="1:38"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row>
    <row r="857" spans="1:38"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row>
    <row r="858" spans="1:38"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row>
    <row r="859" spans="1:38"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row>
    <row r="860" spans="1:38"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row>
    <row r="861" spans="1:38"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row>
    <row r="862" spans="1:38"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row>
    <row r="863" spans="1:38"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row>
    <row r="864" spans="1:38"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row>
    <row r="865" spans="1:38"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row>
    <row r="866" spans="1:38"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row>
    <row r="867" spans="1:38"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row>
    <row r="868" spans="1:38"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row>
    <row r="869" spans="1:38"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row>
    <row r="870" spans="1:38"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row>
    <row r="871" spans="1:38"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row>
    <row r="872" spans="1:38"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row>
    <row r="873" spans="1:38"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row>
    <row r="874" spans="1:38"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row>
    <row r="875" spans="1:38"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row>
    <row r="876" spans="1:38"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row>
    <row r="877" spans="1:38"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row>
    <row r="878" spans="1:38"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row>
    <row r="879" spans="1:38"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row>
    <row r="880" spans="1:38"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row>
    <row r="881" spans="1:38"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row>
    <row r="882" spans="1:38"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row>
    <row r="883" spans="1:38"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row>
    <row r="884" spans="1:38"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row>
    <row r="885" spans="1:38"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row>
    <row r="886" spans="1:38"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row>
    <row r="887" spans="1:38"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row>
    <row r="888" spans="1:38"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row>
    <row r="889" spans="1:38"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row>
    <row r="890" spans="1:38"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row>
    <row r="891" spans="1:38"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row>
    <row r="892" spans="1:38"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row>
    <row r="893" spans="1:38"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row>
    <row r="894" spans="1:38"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row>
    <row r="895" spans="1:38"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row>
    <row r="896" spans="1:38"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row>
    <row r="897" spans="1:38"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row>
    <row r="898" spans="1:38"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row>
    <row r="899" spans="1:38"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row>
    <row r="900" spans="1:38"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row>
    <row r="901" spans="1:38"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row>
    <row r="902" spans="1:38"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row>
    <row r="903" spans="1:38"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row>
    <row r="904" spans="1:38"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row>
    <row r="905" spans="1:38"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row>
    <row r="906" spans="1:38"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row>
    <row r="907" spans="1:38"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row>
    <row r="908" spans="1:38"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row>
    <row r="909" spans="1:38"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row>
    <row r="910" spans="1:38"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row>
    <row r="911" spans="1:38"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row>
    <row r="912" spans="1:38"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row>
    <row r="913" spans="1:38"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row>
    <row r="914" spans="1:38"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row>
    <row r="915" spans="1:38"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row>
    <row r="916" spans="1:38"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row>
    <row r="917" spans="1:38"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row>
    <row r="918" spans="1:38"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row>
    <row r="919" spans="1:38"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row>
    <row r="920" spans="1:38"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row>
    <row r="921" spans="1:38"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row>
    <row r="922" spans="1:38"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row>
    <row r="923" spans="1:38"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row>
    <row r="924" spans="1:38"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row>
    <row r="925" spans="1:38"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row>
    <row r="926" spans="1:38"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row>
    <row r="927" spans="1:38"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row>
    <row r="928" spans="1:38"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row>
    <row r="929" spans="1:38"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row>
    <row r="930" spans="1:38"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row>
    <row r="931" spans="1:38"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row>
    <row r="932" spans="1:38"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row>
    <row r="933" spans="1:38"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row>
    <row r="934" spans="1:38"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row>
    <row r="935" spans="1:38"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row>
    <row r="936" spans="1:38"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row>
    <row r="937" spans="1:38"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row>
    <row r="938" spans="1:38"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row>
    <row r="939" spans="1:38"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row>
    <row r="940" spans="1:38"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row>
    <row r="941" spans="1:38"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row>
    <row r="942" spans="1:38"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row>
    <row r="943" spans="1:38"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row>
    <row r="944" spans="1:38"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row>
    <row r="945" spans="1:38"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row>
    <row r="946" spans="1:38"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row>
    <row r="947" spans="1:38"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row>
    <row r="948" spans="1:38"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row>
    <row r="949" spans="1:38"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row>
    <row r="950" spans="1:38"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row>
    <row r="951" spans="1:38"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row>
    <row r="952" spans="1:38"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row>
    <row r="953" spans="1:38"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row>
    <row r="954" spans="1:38"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row>
    <row r="955" spans="1:38"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row>
    <row r="956" spans="1:38"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row>
    <row r="957" spans="1:38"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row>
    <row r="958" spans="1:38"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row>
    <row r="959" spans="1:38"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row>
    <row r="960" spans="1:38"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row>
    <row r="961" spans="1:38"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row>
    <row r="962" spans="1:38"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row>
    <row r="963" spans="1:38"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row>
    <row r="964" spans="1:38"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row>
    <row r="965" spans="1:38"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row>
    <row r="966" spans="1:38"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row>
    <row r="967" spans="1:38"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row>
    <row r="968" spans="1:38"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row>
    <row r="969" spans="1:38"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row>
    <row r="970" spans="1:38"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row>
    <row r="971" spans="1:38"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row>
    <row r="972" spans="1:38"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row>
    <row r="973" spans="1:38"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row>
    <row r="974" spans="1:38"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row>
    <row r="975" spans="1:38"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row>
    <row r="976" spans="1:38"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row>
    <row r="977" spans="1:38"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row>
    <row r="978" spans="1:38"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row>
    <row r="979" spans="1:38"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row>
    <row r="980" spans="1:38"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row>
    <row r="981" spans="1:38"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row>
    <row r="982" spans="1:38"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row>
    <row r="983" spans="1:38"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row>
    <row r="984" spans="1:38"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row>
    <row r="985" spans="1:38"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row>
    <row r="986" spans="1:38"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row>
    <row r="987" spans="1:38"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row>
    <row r="988" spans="1:38"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row>
    <row r="989" spans="1:38"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row>
    <row r="990" spans="1:38"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row>
    <row r="991" spans="1:38"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row>
    <row r="992" spans="1:38"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row>
    <row r="993" spans="1:38"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row>
    <row r="994" spans="1:38"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row>
    <row r="995" spans="1:38"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row>
    <row r="996" spans="1:38"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row>
    <row r="997" spans="1:38"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row>
    <row r="998" spans="1:38"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row>
    <row r="999" spans="1:38"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row>
    <row r="1000" spans="1:38"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row>
    <row r="1001" spans="1:38" ht="15.75" customHeight="1"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row>
  </sheetData>
  <mergeCells count="4">
    <mergeCell ref="C14:T14"/>
    <mergeCell ref="C26:N26"/>
    <mergeCell ref="C29:N29"/>
    <mergeCell ref="C32:N32"/>
  </mergeCells>
  <pageMargins left="0.7" right="0.7" top="0.75" bottom="0.7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931E0-E339-E44B-9171-842F0ABC4791}">
  <sheetPr>
    <tabColor rgb="FF7030A0"/>
  </sheetPr>
  <dimension ref="A1:AL70"/>
  <sheetViews>
    <sheetView showGridLines="0" zoomScale="120" zoomScaleNormal="120" workbookViewId="0">
      <pane xSplit="1" topLeftCell="B1" activePane="topRight" state="frozen"/>
      <selection activeCell="Q55" sqref="Q55"/>
      <selection pane="topRight" activeCell="Q55" sqref="Q55"/>
    </sheetView>
  </sheetViews>
  <sheetFormatPr baseColWidth="10" defaultRowHeight="15" x14ac:dyDescent="0.2"/>
  <cols>
    <col min="1" max="1" width="48.83203125" customWidth="1"/>
    <col min="2" max="2" width="1.33203125" customWidth="1"/>
  </cols>
  <sheetData>
    <row r="1" spans="1:38" ht="31.5" customHeight="1" x14ac:dyDescent="0.2">
      <c r="A1" s="10" t="s">
        <v>370</v>
      </c>
      <c r="B1" s="10"/>
      <c r="C1" s="11" t="s">
        <v>379</v>
      </c>
      <c r="D1" s="10"/>
      <c r="E1" s="10"/>
      <c r="F1" s="10"/>
      <c r="G1" s="10"/>
      <c r="H1" s="10"/>
      <c r="I1" s="10"/>
      <c r="J1" s="10"/>
      <c r="K1" s="10"/>
      <c r="L1" s="10"/>
      <c r="M1" s="10"/>
      <c r="N1" s="10"/>
      <c r="O1" s="10"/>
      <c r="P1" s="10"/>
      <c r="Q1" s="10"/>
      <c r="R1" s="10"/>
      <c r="S1" s="10"/>
      <c r="T1" s="10"/>
      <c r="U1" s="3"/>
      <c r="V1" s="3"/>
      <c r="W1" s="3"/>
      <c r="X1" s="3"/>
      <c r="Y1" s="3"/>
      <c r="Z1" s="3"/>
      <c r="AA1" s="3"/>
      <c r="AB1" s="3"/>
      <c r="AC1" s="3"/>
      <c r="AD1" s="3"/>
      <c r="AE1" s="3"/>
      <c r="AF1" s="3"/>
      <c r="AG1" s="3"/>
      <c r="AH1" s="3"/>
      <c r="AI1" s="3"/>
      <c r="AJ1" s="3"/>
      <c r="AK1" s="3"/>
      <c r="AL1" s="3"/>
    </row>
    <row r="3" spans="1:38" ht="19" x14ac:dyDescent="0.2">
      <c r="A3" s="15" t="s">
        <v>61</v>
      </c>
    </row>
    <row r="4" spans="1:38" ht="16" x14ac:dyDescent="0.2">
      <c r="A4" s="16" t="s">
        <v>375</v>
      </c>
      <c r="B4" s="3"/>
      <c r="C4" s="17" t="s">
        <v>62</v>
      </c>
      <c r="D4" s="17" t="s">
        <v>63</v>
      </c>
      <c r="E4" s="17" t="s">
        <v>64</v>
      </c>
      <c r="F4" s="17" t="s">
        <v>65</v>
      </c>
      <c r="G4" s="17" t="s">
        <v>62</v>
      </c>
      <c r="H4" s="17" t="s">
        <v>63</v>
      </c>
      <c r="I4" s="17" t="s">
        <v>64</v>
      </c>
      <c r="J4" s="17" t="s">
        <v>65</v>
      </c>
      <c r="K4" s="17" t="s">
        <v>62</v>
      </c>
      <c r="L4" s="17" t="s">
        <v>63</v>
      </c>
      <c r="M4" s="17" t="s">
        <v>64</v>
      </c>
      <c r="N4" s="17" t="s">
        <v>65</v>
      </c>
      <c r="O4" s="17" t="s">
        <v>62</v>
      </c>
      <c r="P4" s="17" t="s">
        <v>63</v>
      </c>
      <c r="Q4" s="17" t="s">
        <v>64</v>
      </c>
      <c r="R4" s="17" t="s">
        <v>65</v>
      </c>
      <c r="S4" s="17" t="s">
        <v>62</v>
      </c>
      <c r="T4" s="17" t="s">
        <v>63</v>
      </c>
      <c r="U4" s="17" t="s">
        <v>64</v>
      </c>
      <c r="V4" s="17" t="s">
        <v>65</v>
      </c>
      <c r="W4" s="17" t="s">
        <v>62</v>
      </c>
      <c r="X4" s="17" t="s">
        <v>63</v>
      </c>
      <c r="Y4" s="17" t="s">
        <v>64</v>
      </c>
      <c r="Z4" s="17" t="s">
        <v>65</v>
      </c>
      <c r="AA4" s="17" t="s">
        <v>62</v>
      </c>
      <c r="AB4" s="17" t="s">
        <v>63</v>
      </c>
      <c r="AC4" s="17" t="s">
        <v>64</v>
      </c>
      <c r="AD4" s="17" t="s">
        <v>65</v>
      </c>
      <c r="AE4" s="17" t="s">
        <v>62</v>
      </c>
      <c r="AF4" s="17" t="s">
        <v>63</v>
      </c>
      <c r="AG4" s="17" t="s">
        <v>64</v>
      </c>
      <c r="AH4" s="17" t="s">
        <v>65</v>
      </c>
      <c r="AI4" s="17" t="s">
        <v>62</v>
      </c>
      <c r="AJ4" s="17" t="s">
        <v>63</v>
      </c>
      <c r="AK4" s="17" t="s">
        <v>64</v>
      </c>
      <c r="AL4" s="17" t="s">
        <v>65</v>
      </c>
    </row>
    <row r="5" spans="1:38" ht="16" x14ac:dyDescent="0.2">
      <c r="A5" s="16" t="s">
        <v>373</v>
      </c>
      <c r="B5" s="3"/>
      <c r="C5" s="17" t="s">
        <v>385</v>
      </c>
      <c r="D5" s="17" t="s">
        <v>386</v>
      </c>
      <c r="E5" s="17" t="s">
        <v>387</v>
      </c>
      <c r="F5" s="17" t="s">
        <v>388</v>
      </c>
      <c r="G5" s="17" t="s">
        <v>66</v>
      </c>
      <c r="H5" s="17" t="s">
        <v>67</v>
      </c>
      <c r="I5" s="17" t="s">
        <v>68</v>
      </c>
      <c r="J5" s="17" t="s">
        <v>69</v>
      </c>
      <c r="K5" s="17" t="s">
        <v>70</v>
      </c>
      <c r="L5" s="17" t="s">
        <v>71</v>
      </c>
      <c r="M5" s="17" t="s">
        <v>72</v>
      </c>
      <c r="N5" s="17" t="s">
        <v>73</v>
      </c>
      <c r="O5" s="17" t="s">
        <v>74</v>
      </c>
      <c r="P5" s="17" t="s">
        <v>75</v>
      </c>
      <c r="Q5" s="17" t="s">
        <v>76</v>
      </c>
      <c r="R5" s="17" t="s">
        <v>77</v>
      </c>
      <c r="S5" s="58" t="s">
        <v>321</v>
      </c>
      <c r="T5" s="17" t="s">
        <v>322</v>
      </c>
      <c r="U5" s="17" t="s">
        <v>323</v>
      </c>
      <c r="V5" s="17" t="s">
        <v>324</v>
      </c>
      <c r="W5" s="58" t="s">
        <v>325</v>
      </c>
      <c r="X5" s="17" t="s">
        <v>326</v>
      </c>
      <c r="Y5" s="17" t="s">
        <v>327</v>
      </c>
      <c r="Z5" s="17" t="s">
        <v>328</v>
      </c>
      <c r="AA5" s="17" t="s">
        <v>329</v>
      </c>
      <c r="AB5" s="17" t="s">
        <v>330</v>
      </c>
      <c r="AC5" s="17" t="s">
        <v>331</v>
      </c>
      <c r="AD5" s="17" t="s">
        <v>332</v>
      </c>
      <c r="AE5" s="17" t="s">
        <v>333</v>
      </c>
      <c r="AF5" s="17" t="s">
        <v>334</v>
      </c>
      <c r="AG5" s="17" t="s">
        <v>335</v>
      </c>
      <c r="AH5" s="17" t="s">
        <v>336</v>
      </c>
      <c r="AI5" s="17" t="s">
        <v>337</v>
      </c>
      <c r="AJ5" s="17" t="s">
        <v>338</v>
      </c>
      <c r="AK5" s="17" t="s">
        <v>339</v>
      </c>
      <c r="AL5" s="17" t="s">
        <v>340</v>
      </c>
    </row>
    <row r="6" spans="1:38" ht="16" customHeight="1" x14ac:dyDescent="0.2">
      <c r="A6" s="18" t="s">
        <v>371</v>
      </c>
      <c r="C6" s="66">
        <f>'1 ASP REFERRALS'!C39</f>
        <v>0</v>
      </c>
      <c r="D6" s="66">
        <f>'1 ASP REFERRALS'!D39</f>
        <v>0</v>
      </c>
      <c r="E6" s="66">
        <f>'1 ASP REFERRALS'!E39</f>
        <v>0</v>
      </c>
      <c r="F6" s="66">
        <f>'1 ASP REFERRALS'!F39</f>
        <v>0</v>
      </c>
      <c r="G6" s="66">
        <f>'1 ASP REFERRALS'!G39</f>
        <v>0</v>
      </c>
      <c r="H6" s="66">
        <f>'1 ASP REFERRALS'!H39</f>
        <v>0</v>
      </c>
      <c r="I6" s="66">
        <f>'1 ASP REFERRALS'!I39</f>
        <v>0</v>
      </c>
      <c r="J6" s="66">
        <f>'1 ASP REFERRALS'!J39</f>
        <v>0</v>
      </c>
      <c r="K6" s="66">
        <f>'1 ASP REFERRALS'!K39</f>
        <v>0</v>
      </c>
      <c r="L6" s="66">
        <f>'1 ASP REFERRALS'!L39</f>
        <v>0</v>
      </c>
      <c r="M6" s="66">
        <f>'1 ASP REFERRALS'!M39</f>
        <v>0</v>
      </c>
      <c r="N6" s="66">
        <f>'1 ASP REFERRALS'!N39</f>
        <v>0</v>
      </c>
      <c r="O6" s="66">
        <f>'1 ASP REFERRALS'!O39</f>
        <v>0</v>
      </c>
      <c r="P6" s="66">
        <f>'1 ASP REFERRALS'!P39</f>
        <v>0</v>
      </c>
      <c r="Q6" s="66">
        <f>'1 ASP REFERRALS'!Q39</f>
        <v>0</v>
      </c>
      <c r="R6" s="66">
        <f>'1 ASP REFERRALS'!R39</f>
        <v>0</v>
      </c>
      <c r="S6" s="66">
        <f>'1 ASP REFERRALS'!S39</f>
        <v>0</v>
      </c>
      <c r="T6" s="66">
        <f>'1 ASP REFERRALS'!T39</f>
        <v>0</v>
      </c>
      <c r="U6" s="66">
        <f>'1 ASP REFERRALS'!U39</f>
        <v>0</v>
      </c>
      <c r="V6" s="66">
        <f>'1 ASP REFERRALS'!V39</f>
        <v>0</v>
      </c>
      <c r="W6" s="66">
        <f>'1 ASP REFERRALS'!W39</f>
        <v>0</v>
      </c>
      <c r="X6" s="66">
        <f>'1 ASP REFERRALS'!X39</f>
        <v>0</v>
      </c>
      <c r="Y6" s="66">
        <f>'1 ASP REFERRALS'!Y39</f>
        <v>0</v>
      </c>
      <c r="Z6" s="66">
        <f>'1 ASP REFERRALS'!Z39</f>
        <v>0</v>
      </c>
      <c r="AA6" s="66">
        <f>'1 ASP REFERRALS'!AA39</f>
        <v>0</v>
      </c>
      <c r="AB6" s="66">
        <f>'1 ASP REFERRALS'!AB39</f>
        <v>0</v>
      </c>
      <c r="AC6" s="66">
        <f>'1 ASP REFERRALS'!AC39</f>
        <v>0</v>
      </c>
      <c r="AD6" s="66">
        <f>'1 ASP REFERRALS'!AD39</f>
        <v>0</v>
      </c>
      <c r="AE6" s="66">
        <f>'1 ASP REFERRALS'!AE39</f>
        <v>0</v>
      </c>
      <c r="AF6" s="66">
        <f>'1 ASP REFERRALS'!AF39</f>
        <v>0</v>
      </c>
      <c r="AG6" s="66">
        <f>'1 ASP REFERRALS'!AG39</f>
        <v>0</v>
      </c>
      <c r="AH6" s="66">
        <f>'1 ASP REFERRALS'!AH39</f>
        <v>0</v>
      </c>
      <c r="AI6" s="66">
        <f>'1 ASP REFERRALS'!AI39</f>
        <v>0</v>
      </c>
      <c r="AJ6" s="66">
        <f>'1 ASP REFERRALS'!AJ39</f>
        <v>0</v>
      </c>
      <c r="AK6" s="66">
        <f>'1 ASP REFERRALS'!AK39</f>
        <v>0</v>
      </c>
      <c r="AL6" s="66">
        <f>'1 ASP REFERRALS'!AL39</f>
        <v>0</v>
      </c>
    </row>
    <row r="7" spans="1:38" ht="16" customHeight="1" x14ac:dyDescent="0.2">
      <c r="A7" s="18" t="s">
        <v>372</v>
      </c>
      <c r="C7" s="66">
        <f>SUM('2-3 INQUIRIES'!C7+'2-3 INQUIRIES'!C11)</f>
        <v>0</v>
      </c>
      <c r="D7" s="66">
        <f>SUM('2-3 INQUIRIES'!D7+'2-3 INQUIRIES'!D11)</f>
        <v>0</v>
      </c>
      <c r="E7" s="66">
        <f>SUM('2-3 INQUIRIES'!E7+'2-3 INQUIRIES'!E11)</f>
        <v>0</v>
      </c>
      <c r="F7" s="66">
        <f>SUM('2-3 INQUIRIES'!F7+'2-3 INQUIRIES'!F11)</f>
        <v>0</v>
      </c>
      <c r="G7" s="66">
        <f>SUM('2-3 INQUIRIES'!G7+'2-3 INQUIRIES'!G11)</f>
        <v>0</v>
      </c>
      <c r="H7" s="66">
        <f>SUM('2-3 INQUIRIES'!H7+'2-3 INQUIRIES'!H11)</f>
        <v>0</v>
      </c>
      <c r="I7" s="66">
        <f>SUM('2-3 INQUIRIES'!I7+'2-3 INQUIRIES'!I11)</f>
        <v>0</v>
      </c>
      <c r="J7" s="66">
        <f>SUM('2-3 INQUIRIES'!J7+'2-3 INQUIRIES'!J11)</f>
        <v>0</v>
      </c>
      <c r="K7" s="66">
        <f>SUM('2-3 INQUIRIES'!K7+'2-3 INQUIRIES'!K11)</f>
        <v>0</v>
      </c>
      <c r="L7" s="66">
        <f>SUM('2-3 INQUIRIES'!L7+'2-3 INQUIRIES'!L11)</f>
        <v>0</v>
      </c>
      <c r="M7" s="66">
        <f>SUM('2-3 INQUIRIES'!M7+'2-3 INQUIRIES'!M11)</f>
        <v>0</v>
      </c>
      <c r="N7" s="66">
        <f>SUM('2-3 INQUIRIES'!N7+'2-3 INQUIRIES'!N11)</f>
        <v>0</v>
      </c>
      <c r="O7" s="66">
        <f>SUM('2-3 INQUIRIES'!O7+'2-3 INQUIRIES'!O11)</f>
        <v>0</v>
      </c>
      <c r="P7" s="66">
        <f>SUM('2-3 INQUIRIES'!P7+'2-3 INQUIRIES'!P11)</f>
        <v>0</v>
      </c>
      <c r="Q7" s="66">
        <f>SUM('2-3 INQUIRIES'!Q7+'2-3 INQUIRIES'!Q11)</f>
        <v>0</v>
      </c>
      <c r="R7" s="66">
        <f>SUM('2-3 INQUIRIES'!R7+'2-3 INQUIRIES'!R11)</f>
        <v>0</v>
      </c>
      <c r="S7" s="66">
        <f>SUM('2-3 INQUIRIES'!S7+'2-3 INQUIRIES'!S11)</f>
        <v>0</v>
      </c>
      <c r="T7" s="66">
        <f>SUM('2-3 INQUIRIES'!T7+'2-3 INQUIRIES'!T11)</f>
        <v>0</v>
      </c>
      <c r="U7" s="66">
        <f>SUM('2-3 INQUIRIES'!U7+'2-3 INQUIRIES'!U11)</f>
        <v>0</v>
      </c>
      <c r="V7" s="66">
        <f>SUM('2-3 INQUIRIES'!V7+'2-3 INQUIRIES'!V11)</f>
        <v>0</v>
      </c>
      <c r="W7" s="66">
        <f>SUM('2-3 INQUIRIES'!W7+'2-3 INQUIRIES'!W11)</f>
        <v>0</v>
      </c>
      <c r="X7" s="66">
        <f>SUM('2-3 INQUIRIES'!X7+'2-3 INQUIRIES'!X11)</f>
        <v>0</v>
      </c>
      <c r="Y7" s="66">
        <f>SUM('2-3 INQUIRIES'!Y7+'2-3 INQUIRIES'!Y11)</f>
        <v>0</v>
      </c>
      <c r="Z7" s="66">
        <f>SUM('2-3 INQUIRIES'!Z7+'2-3 INQUIRIES'!Z11)</f>
        <v>0</v>
      </c>
      <c r="AA7" s="66">
        <f>SUM('2-3 INQUIRIES'!AA7+'2-3 INQUIRIES'!AA11)</f>
        <v>0</v>
      </c>
      <c r="AB7" s="66">
        <f>SUM('2-3 INQUIRIES'!AB7+'2-3 INQUIRIES'!AB11)</f>
        <v>0</v>
      </c>
      <c r="AC7" s="66">
        <f>SUM('2-3 INQUIRIES'!AC7+'2-3 INQUIRIES'!AC11)</f>
        <v>0</v>
      </c>
      <c r="AD7" s="66">
        <f>SUM('2-3 INQUIRIES'!AD7+'2-3 INQUIRIES'!AD11)</f>
        <v>0</v>
      </c>
      <c r="AE7" s="66">
        <f>SUM('2-3 INQUIRIES'!AE7+'2-3 INQUIRIES'!AE11)</f>
        <v>0</v>
      </c>
      <c r="AF7" s="66">
        <f>SUM('2-3 INQUIRIES'!AF7+'2-3 INQUIRIES'!AF11)</f>
        <v>0</v>
      </c>
      <c r="AG7" s="66">
        <f>SUM('2-3 INQUIRIES'!AG7+'2-3 INQUIRIES'!AG11)</f>
        <v>0</v>
      </c>
      <c r="AH7" s="66">
        <f>SUM('2-3 INQUIRIES'!AH7+'2-3 INQUIRIES'!AH11)</f>
        <v>0</v>
      </c>
      <c r="AI7" s="66">
        <f>SUM('2-3 INQUIRIES'!AI7+'2-3 INQUIRIES'!AI11)</f>
        <v>0</v>
      </c>
      <c r="AJ7" s="66">
        <f>SUM('2-3 INQUIRIES'!AJ7+'2-3 INQUIRIES'!AJ11)</f>
        <v>0</v>
      </c>
      <c r="AK7" s="66">
        <f>SUM('2-3 INQUIRIES'!AK7+'2-3 INQUIRIES'!AK11)</f>
        <v>0</v>
      </c>
      <c r="AL7" s="66">
        <f>SUM('2-3 INQUIRIES'!AL7+'2-3 INQUIRIES'!AL11)</f>
        <v>0</v>
      </c>
    </row>
    <row r="8" spans="1:38" ht="32" customHeight="1" thickBot="1" x14ac:dyDescent="0.25">
      <c r="A8" s="69" t="s">
        <v>374</v>
      </c>
      <c r="C8" s="67">
        <f>IFERROR(ROUND((C7/C6)*100,1),0)</f>
        <v>0</v>
      </c>
      <c r="D8" s="67">
        <f t="shared" ref="D8:F8" si="0">IFERROR(ROUND((D7/D6)*100,1),0)</f>
        <v>0</v>
      </c>
      <c r="E8" s="67">
        <f t="shared" si="0"/>
        <v>0</v>
      </c>
      <c r="F8" s="67">
        <f t="shared" si="0"/>
        <v>0</v>
      </c>
      <c r="G8" s="67">
        <f>IFERROR(ROUND((G7/G6)*100,1),0)</f>
        <v>0</v>
      </c>
      <c r="H8" s="67">
        <f t="shared" ref="H8:AL8" si="1">IFERROR(ROUND((H7/H6)*100,1),0)</f>
        <v>0</v>
      </c>
      <c r="I8" s="67">
        <f t="shared" si="1"/>
        <v>0</v>
      </c>
      <c r="J8" s="67">
        <f t="shared" si="1"/>
        <v>0</v>
      </c>
      <c r="K8" s="67">
        <f t="shared" si="1"/>
        <v>0</v>
      </c>
      <c r="L8" s="67">
        <f t="shared" si="1"/>
        <v>0</v>
      </c>
      <c r="M8" s="67">
        <f t="shared" si="1"/>
        <v>0</v>
      </c>
      <c r="N8" s="67">
        <f t="shared" si="1"/>
        <v>0</v>
      </c>
      <c r="O8" s="67">
        <f t="shared" si="1"/>
        <v>0</v>
      </c>
      <c r="P8" s="67">
        <f t="shared" si="1"/>
        <v>0</v>
      </c>
      <c r="Q8" s="67">
        <f t="shared" si="1"/>
        <v>0</v>
      </c>
      <c r="R8" s="67">
        <f t="shared" si="1"/>
        <v>0</v>
      </c>
      <c r="S8" s="67">
        <f t="shared" si="1"/>
        <v>0</v>
      </c>
      <c r="T8" s="67">
        <f t="shared" si="1"/>
        <v>0</v>
      </c>
      <c r="U8" s="67">
        <f t="shared" si="1"/>
        <v>0</v>
      </c>
      <c r="V8" s="67">
        <f t="shared" si="1"/>
        <v>0</v>
      </c>
      <c r="W8" s="67">
        <f t="shared" si="1"/>
        <v>0</v>
      </c>
      <c r="X8" s="67">
        <f t="shared" si="1"/>
        <v>0</v>
      </c>
      <c r="Y8" s="67">
        <f t="shared" si="1"/>
        <v>0</v>
      </c>
      <c r="Z8" s="67">
        <f t="shared" si="1"/>
        <v>0</v>
      </c>
      <c r="AA8" s="67">
        <f t="shared" si="1"/>
        <v>0</v>
      </c>
      <c r="AB8" s="67">
        <f t="shared" si="1"/>
        <v>0</v>
      </c>
      <c r="AC8" s="67">
        <f t="shared" si="1"/>
        <v>0</v>
      </c>
      <c r="AD8" s="67">
        <f t="shared" si="1"/>
        <v>0</v>
      </c>
      <c r="AE8" s="67">
        <f t="shared" si="1"/>
        <v>0</v>
      </c>
      <c r="AF8" s="67">
        <f t="shared" si="1"/>
        <v>0</v>
      </c>
      <c r="AG8" s="67">
        <f t="shared" si="1"/>
        <v>0</v>
      </c>
      <c r="AH8" s="67">
        <f t="shared" si="1"/>
        <v>0</v>
      </c>
      <c r="AI8" s="67">
        <f t="shared" si="1"/>
        <v>0</v>
      </c>
      <c r="AJ8" s="67">
        <f t="shared" si="1"/>
        <v>0</v>
      </c>
      <c r="AK8" s="67">
        <f t="shared" si="1"/>
        <v>0</v>
      </c>
      <c r="AL8" s="67">
        <f t="shared" si="1"/>
        <v>0</v>
      </c>
    </row>
    <row r="9" spans="1:38" s="62" customFormat="1" ht="16" customHeight="1" thickTop="1" x14ac:dyDescent="0.2">
      <c r="A9" s="18" t="str">
        <f>'2-3 INQUIRIES'!A7</f>
        <v>Total inquiries where investigatory powers are not used</v>
      </c>
      <c r="C9" s="66">
        <f>'2-3 INQUIRIES'!C7</f>
        <v>0</v>
      </c>
      <c r="D9" s="66">
        <f>'2-3 INQUIRIES'!D7</f>
        <v>0</v>
      </c>
      <c r="E9" s="66">
        <f>'2-3 INQUIRIES'!E7</f>
        <v>0</v>
      </c>
      <c r="F9" s="66">
        <f>'2-3 INQUIRIES'!F7</f>
        <v>0</v>
      </c>
      <c r="G9" s="66">
        <f>'2-3 INQUIRIES'!G7</f>
        <v>0</v>
      </c>
      <c r="H9" s="66">
        <f>'2-3 INQUIRIES'!H7</f>
        <v>0</v>
      </c>
      <c r="I9" s="66">
        <f>'2-3 INQUIRIES'!I7</f>
        <v>0</v>
      </c>
      <c r="J9" s="66">
        <f>'2-3 INQUIRIES'!J7</f>
        <v>0</v>
      </c>
      <c r="K9" s="66">
        <f>'2-3 INQUIRIES'!K7</f>
        <v>0</v>
      </c>
      <c r="L9" s="66">
        <f>'2-3 INQUIRIES'!L7</f>
        <v>0</v>
      </c>
      <c r="M9" s="66">
        <f>'2-3 INQUIRIES'!M7</f>
        <v>0</v>
      </c>
      <c r="N9" s="66">
        <f>'2-3 INQUIRIES'!N7</f>
        <v>0</v>
      </c>
      <c r="O9" s="66">
        <f>'2-3 INQUIRIES'!O7</f>
        <v>0</v>
      </c>
      <c r="P9" s="66">
        <f>'2-3 INQUIRIES'!P7</f>
        <v>0</v>
      </c>
      <c r="Q9" s="66">
        <f>'2-3 INQUIRIES'!Q7</f>
        <v>0</v>
      </c>
      <c r="R9" s="66">
        <f>'2-3 INQUIRIES'!R7</f>
        <v>0</v>
      </c>
      <c r="S9" s="66">
        <f>'2-3 INQUIRIES'!S7</f>
        <v>0</v>
      </c>
      <c r="T9" s="66">
        <f>'2-3 INQUIRIES'!T7</f>
        <v>0</v>
      </c>
      <c r="U9" s="66">
        <f>'2-3 INQUIRIES'!U7</f>
        <v>0</v>
      </c>
      <c r="V9" s="66">
        <f>'2-3 INQUIRIES'!V7</f>
        <v>0</v>
      </c>
      <c r="W9" s="66">
        <f>'2-3 INQUIRIES'!W7</f>
        <v>0</v>
      </c>
      <c r="X9" s="66">
        <f>'2-3 INQUIRIES'!X7</f>
        <v>0</v>
      </c>
      <c r="Y9" s="66">
        <f>'2-3 INQUIRIES'!Y7</f>
        <v>0</v>
      </c>
      <c r="Z9" s="66">
        <f>'2-3 INQUIRIES'!Z7</f>
        <v>0</v>
      </c>
      <c r="AA9" s="66">
        <f>'2-3 INQUIRIES'!AA7</f>
        <v>0</v>
      </c>
      <c r="AB9" s="66">
        <f>'2-3 INQUIRIES'!AB7</f>
        <v>0</v>
      </c>
      <c r="AC9" s="66">
        <f>'2-3 INQUIRIES'!AC7</f>
        <v>0</v>
      </c>
      <c r="AD9" s="66">
        <f>'2-3 INQUIRIES'!AD7</f>
        <v>0</v>
      </c>
      <c r="AE9" s="66">
        <f>'2-3 INQUIRIES'!AE7</f>
        <v>0</v>
      </c>
      <c r="AF9" s="66">
        <f>'2-3 INQUIRIES'!AF7</f>
        <v>0</v>
      </c>
      <c r="AG9" s="66">
        <f>'2-3 INQUIRIES'!AG7</f>
        <v>0</v>
      </c>
      <c r="AH9" s="66">
        <f>'2-3 INQUIRIES'!AH7</f>
        <v>0</v>
      </c>
      <c r="AI9" s="66">
        <f>'2-3 INQUIRIES'!AI7</f>
        <v>0</v>
      </c>
      <c r="AJ9" s="66">
        <f>'2-3 INQUIRIES'!AJ7</f>
        <v>0</v>
      </c>
      <c r="AK9" s="66">
        <f>'2-3 INQUIRIES'!AK7</f>
        <v>0</v>
      </c>
      <c r="AL9" s="66">
        <f>'2-3 INQUIRIES'!AL7</f>
        <v>0</v>
      </c>
    </row>
    <row r="10" spans="1:38" s="62" customFormat="1" ht="16" customHeight="1" x14ac:dyDescent="0.2">
      <c r="A10" s="18" t="str">
        <f>'2-3 INQUIRIES'!A11</f>
        <v>Total inquiries where  investigatory powers are used</v>
      </c>
      <c r="C10" s="66">
        <f>'2-3 INQUIRIES'!C11</f>
        <v>0</v>
      </c>
      <c r="D10" s="66">
        <f>'2-3 INQUIRIES'!D11</f>
        <v>0</v>
      </c>
      <c r="E10" s="66">
        <f>'2-3 INQUIRIES'!E11</f>
        <v>0</v>
      </c>
      <c r="F10" s="66">
        <f>'2-3 INQUIRIES'!F11</f>
        <v>0</v>
      </c>
      <c r="G10" s="66">
        <f>'2-3 INQUIRIES'!G11</f>
        <v>0</v>
      </c>
      <c r="H10" s="66">
        <f>'2-3 INQUIRIES'!H11</f>
        <v>0</v>
      </c>
      <c r="I10" s="66">
        <f>'2-3 INQUIRIES'!I11</f>
        <v>0</v>
      </c>
      <c r="J10" s="66">
        <f>'2-3 INQUIRIES'!J11</f>
        <v>0</v>
      </c>
      <c r="K10" s="66">
        <f>'2-3 INQUIRIES'!K11</f>
        <v>0</v>
      </c>
      <c r="L10" s="66">
        <f>'2-3 INQUIRIES'!L11</f>
        <v>0</v>
      </c>
      <c r="M10" s="66">
        <f>'2-3 INQUIRIES'!M11</f>
        <v>0</v>
      </c>
      <c r="N10" s="66">
        <f>'2-3 INQUIRIES'!N11</f>
        <v>0</v>
      </c>
      <c r="O10" s="66">
        <f>'2-3 INQUIRIES'!O11</f>
        <v>0</v>
      </c>
      <c r="P10" s="66">
        <f>'2-3 INQUIRIES'!P11</f>
        <v>0</v>
      </c>
      <c r="Q10" s="66">
        <f>'2-3 INQUIRIES'!Q11</f>
        <v>0</v>
      </c>
      <c r="R10" s="66">
        <f>'2-3 INQUIRIES'!R11</f>
        <v>0</v>
      </c>
      <c r="S10" s="66">
        <f>'2-3 INQUIRIES'!S11</f>
        <v>0</v>
      </c>
      <c r="T10" s="66">
        <f>'2-3 INQUIRIES'!T11</f>
        <v>0</v>
      </c>
      <c r="U10" s="66">
        <f>'2-3 INQUIRIES'!U11</f>
        <v>0</v>
      </c>
      <c r="V10" s="66">
        <f>'2-3 INQUIRIES'!V11</f>
        <v>0</v>
      </c>
      <c r="W10" s="66">
        <f>'2-3 INQUIRIES'!W11</f>
        <v>0</v>
      </c>
      <c r="X10" s="66">
        <f>'2-3 INQUIRIES'!X11</f>
        <v>0</v>
      </c>
      <c r="Y10" s="66">
        <f>'2-3 INQUIRIES'!Y11</f>
        <v>0</v>
      </c>
      <c r="Z10" s="66">
        <f>'2-3 INQUIRIES'!Z11</f>
        <v>0</v>
      </c>
      <c r="AA10" s="66">
        <f>'2-3 INQUIRIES'!AA11</f>
        <v>0</v>
      </c>
      <c r="AB10" s="66">
        <f>'2-3 INQUIRIES'!AB11</f>
        <v>0</v>
      </c>
      <c r="AC10" s="66">
        <f>'2-3 INQUIRIES'!AC11</f>
        <v>0</v>
      </c>
      <c r="AD10" s="66">
        <f>'2-3 INQUIRIES'!AD11</f>
        <v>0</v>
      </c>
      <c r="AE10" s="66">
        <f>'2-3 INQUIRIES'!AE11</f>
        <v>0</v>
      </c>
      <c r="AF10" s="66">
        <f>'2-3 INQUIRIES'!AF11</f>
        <v>0</v>
      </c>
      <c r="AG10" s="66">
        <f>'2-3 INQUIRIES'!AG11</f>
        <v>0</v>
      </c>
      <c r="AH10" s="66">
        <f>'2-3 INQUIRIES'!AH11</f>
        <v>0</v>
      </c>
      <c r="AI10" s="66">
        <f>'2-3 INQUIRIES'!AI11</f>
        <v>0</v>
      </c>
      <c r="AJ10" s="66">
        <f>'2-3 INQUIRIES'!AJ11</f>
        <v>0</v>
      </c>
      <c r="AK10" s="66">
        <f>'2-3 INQUIRIES'!AK11</f>
        <v>0</v>
      </c>
      <c r="AL10" s="66">
        <f>'2-3 INQUIRIES'!AL11</f>
        <v>0</v>
      </c>
    </row>
    <row r="11" spans="1:38" s="62" customFormat="1" ht="32" customHeight="1" thickBot="1" x14ac:dyDescent="0.25">
      <c r="A11" s="69" t="str">
        <f>A8 &amp; " " &amp; A9</f>
        <v>Conversion rate (%) Total inquiries where investigatory powers are not used</v>
      </c>
      <c r="C11" s="67">
        <f>IFERROR(ROUND((C9/C6)*100,1),0)</f>
        <v>0</v>
      </c>
      <c r="D11" s="67">
        <f t="shared" ref="D11:AL11" si="2">IFERROR(ROUND((D9/D6)*100,1),0)</f>
        <v>0</v>
      </c>
      <c r="E11" s="67">
        <f t="shared" si="2"/>
        <v>0</v>
      </c>
      <c r="F11" s="67">
        <f t="shared" si="2"/>
        <v>0</v>
      </c>
      <c r="G11" s="67">
        <f t="shared" si="2"/>
        <v>0</v>
      </c>
      <c r="H11" s="67">
        <f t="shared" si="2"/>
        <v>0</v>
      </c>
      <c r="I11" s="67">
        <f t="shared" si="2"/>
        <v>0</v>
      </c>
      <c r="J11" s="67">
        <f t="shared" si="2"/>
        <v>0</v>
      </c>
      <c r="K11" s="67">
        <f t="shared" si="2"/>
        <v>0</v>
      </c>
      <c r="L11" s="67">
        <f t="shared" si="2"/>
        <v>0</v>
      </c>
      <c r="M11" s="67">
        <f t="shared" si="2"/>
        <v>0</v>
      </c>
      <c r="N11" s="67">
        <f t="shared" si="2"/>
        <v>0</v>
      </c>
      <c r="O11" s="67">
        <f t="shared" si="2"/>
        <v>0</v>
      </c>
      <c r="P11" s="67">
        <f t="shared" si="2"/>
        <v>0</v>
      </c>
      <c r="Q11" s="67">
        <f t="shared" si="2"/>
        <v>0</v>
      </c>
      <c r="R11" s="67">
        <f t="shared" si="2"/>
        <v>0</v>
      </c>
      <c r="S11" s="67">
        <f t="shared" si="2"/>
        <v>0</v>
      </c>
      <c r="T11" s="67">
        <f t="shared" si="2"/>
        <v>0</v>
      </c>
      <c r="U11" s="67">
        <f t="shared" si="2"/>
        <v>0</v>
      </c>
      <c r="V11" s="67">
        <f t="shared" si="2"/>
        <v>0</v>
      </c>
      <c r="W11" s="67">
        <f t="shared" si="2"/>
        <v>0</v>
      </c>
      <c r="X11" s="67">
        <f t="shared" si="2"/>
        <v>0</v>
      </c>
      <c r="Y11" s="67">
        <f t="shared" si="2"/>
        <v>0</v>
      </c>
      <c r="Z11" s="67">
        <f t="shared" si="2"/>
        <v>0</v>
      </c>
      <c r="AA11" s="67">
        <f t="shared" si="2"/>
        <v>0</v>
      </c>
      <c r="AB11" s="67">
        <f t="shared" si="2"/>
        <v>0</v>
      </c>
      <c r="AC11" s="67">
        <f t="shared" si="2"/>
        <v>0</v>
      </c>
      <c r="AD11" s="67">
        <f t="shared" si="2"/>
        <v>0</v>
      </c>
      <c r="AE11" s="67">
        <f t="shared" si="2"/>
        <v>0</v>
      </c>
      <c r="AF11" s="67">
        <f t="shared" si="2"/>
        <v>0</v>
      </c>
      <c r="AG11" s="67">
        <f t="shared" si="2"/>
        <v>0</v>
      </c>
      <c r="AH11" s="67">
        <f t="shared" si="2"/>
        <v>0</v>
      </c>
      <c r="AI11" s="67">
        <f t="shared" si="2"/>
        <v>0</v>
      </c>
      <c r="AJ11" s="67">
        <f t="shared" si="2"/>
        <v>0</v>
      </c>
      <c r="AK11" s="67">
        <f t="shared" si="2"/>
        <v>0</v>
      </c>
      <c r="AL11" s="67">
        <f t="shared" si="2"/>
        <v>0</v>
      </c>
    </row>
    <row r="12" spans="1:38" s="62" customFormat="1" ht="32" customHeight="1" thickTop="1" thickBot="1" x14ac:dyDescent="0.25">
      <c r="A12" s="69" t="str">
        <f>A8 &amp; " " &amp; A10</f>
        <v>Conversion rate (%) Total inquiries where  investigatory powers are used</v>
      </c>
      <c r="C12" s="67">
        <f t="shared" ref="C12:AL12" si="3">IFERROR(ROUND((C10/C6)*100,1),0)</f>
        <v>0</v>
      </c>
      <c r="D12" s="67">
        <f t="shared" si="3"/>
        <v>0</v>
      </c>
      <c r="E12" s="67">
        <f t="shared" si="3"/>
        <v>0</v>
      </c>
      <c r="F12" s="67">
        <f t="shared" si="3"/>
        <v>0</v>
      </c>
      <c r="G12" s="67">
        <f t="shared" si="3"/>
        <v>0</v>
      </c>
      <c r="H12" s="67">
        <f t="shared" si="3"/>
        <v>0</v>
      </c>
      <c r="I12" s="67">
        <f t="shared" si="3"/>
        <v>0</v>
      </c>
      <c r="J12" s="67">
        <f t="shared" si="3"/>
        <v>0</v>
      </c>
      <c r="K12" s="67">
        <f t="shared" si="3"/>
        <v>0</v>
      </c>
      <c r="L12" s="67">
        <f t="shared" si="3"/>
        <v>0</v>
      </c>
      <c r="M12" s="67">
        <f t="shared" si="3"/>
        <v>0</v>
      </c>
      <c r="N12" s="67">
        <f t="shared" si="3"/>
        <v>0</v>
      </c>
      <c r="O12" s="67">
        <f t="shared" si="3"/>
        <v>0</v>
      </c>
      <c r="P12" s="67">
        <f t="shared" si="3"/>
        <v>0</v>
      </c>
      <c r="Q12" s="67">
        <f t="shared" si="3"/>
        <v>0</v>
      </c>
      <c r="R12" s="67">
        <f t="shared" si="3"/>
        <v>0</v>
      </c>
      <c r="S12" s="67">
        <f t="shared" si="3"/>
        <v>0</v>
      </c>
      <c r="T12" s="67">
        <f t="shared" si="3"/>
        <v>0</v>
      </c>
      <c r="U12" s="67">
        <f t="shared" si="3"/>
        <v>0</v>
      </c>
      <c r="V12" s="67">
        <f t="shared" si="3"/>
        <v>0</v>
      </c>
      <c r="W12" s="67">
        <f t="shared" si="3"/>
        <v>0</v>
      </c>
      <c r="X12" s="67">
        <f t="shared" si="3"/>
        <v>0</v>
      </c>
      <c r="Y12" s="67">
        <f t="shared" si="3"/>
        <v>0</v>
      </c>
      <c r="Z12" s="67">
        <f t="shared" si="3"/>
        <v>0</v>
      </c>
      <c r="AA12" s="67">
        <f t="shared" si="3"/>
        <v>0</v>
      </c>
      <c r="AB12" s="67">
        <f t="shared" si="3"/>
        <v>0</v>
      </c>
      <c r="AC12" s="67">
        <f t="shared" si="3"/>
        <v>0</v>
      </c>
      <c r="AD12" s="67">
        <f t="shared" si="3"/>
        <v>0</v>
      </c>
      <c r="AE12" s="67">
        <f t="shared" si="3"/>
        <v>0</v>
      </c>
      <c r="AF12" s="67">
        <f t="shared" si="3"/>
        <v>0</v>
      </c>
      <c r="AG12" s="67">
        <f t="shared" si="3"/>
        <v>0</v>
      </c>
      <c r="AH12" s="67">
        <f t="shared" si="3"/>
        <v>0</v>
      </c>
      <c r="AI12" s="67">
        <f t="shared" si="3"/>
        <v>0</v>
      </c>
      <c r="AJ12" s="67">
        <f t="shared" si="3"/>
        <v>0</v>
      </c>
      <c r="AK12" s="67">
        <f t="shared" si="3"/>
        <v>0</v>
      </c>
      <c r="AL12" s="67">
        <f t="shared" si="3"/>
        <v>0</v>
      </c>
    </row>
    <row r="13" spans="1:38" s="62" customFormat="1" ht="16" customHeight="1" thickTop="1" x14ac:dyDescent="0.2"/>
    <row r="14" spans="1:38" s="62" customFormat="1" ht="32" customHeight="1" x14ac:dyDescent="0.2">
      <c r="A14" s="15" t="s">
        <v>320</v>
      </c>
    </row>
    <row r="15" spans="1:38" s="62" customFormat="1" ht="393" customHeight="1" x14ac:dyDescent="0.2"/>
    <row r="16" spans="1:38" s="62" customFormat="1" ht="16" customHeight="1" x14ac:dyDescent="0.2"/>
    <row r="17" spans="1:20" ht="16" customHeight="1" x14ac:dyDescent="0.2"/>
    <row r="18" spans="1:20" ht="16" customHeight="1" x14ac:dyDescent="0.2">
      <c r="B18" s="3"/>
      <c r="C18" s="25"/>
      <c r="D18" s="25"/>
      <c r="E18" s="25"/>
      <c r="F18" s="25"/>
      <c r="G18" s="25"/>
      <c r="H18" s="25"/>
      <c r="I18" s="25"/>
      <c r="J18" s="25"/>
      <c r="K18" s="25"/>
      <c r="L18" s="25"/>
      <c r="M18" s="25"/>
      <c r="N18" s="25"/>
      <c r="O18" s="3"/>
      <c r="P18" s="3"/>
      <c r="Q18" s="3"/>
      <c r="R18" s="3"/>
      <c r="S18" s="3"/>
      <c r="T18" s="3"/>
    </row>
    <row r="19" spans="1:20" ht="16" customHeight="1" x14ac:dyDescent="0.2"/>
    <row r="20" spans="1:20" ht="16" customHeight="1" x14ac:dyDescent="0.2"/>
    <row r="21" spans="1:20" ht="16" customHeight="1" x14ac:dyDescent="0.2">
      <c r="A21" s="62"/>
    </row>
    <row r="22" spans="1:20" ht="16" customHeight="1" x14ac:dyDescent="0.2"/>
    <row r="23" spans="1:20" ht="16" customHeight="1" x14ac:dyDescent="0.2"/>
    <row r="24" spans="1:20" ht="16" customHeight="1" x14ac:dyDescent="0.2"/>
    <row r="25" spans="1:20" ht="16" customHeight="1" x14ac:dyDescent="0.2"/>
    <row r="26" spans="1:20" ht="16" customHeight="1" x14ac:dyDescent="0.2"/>
    <row r="27" spans="1:20" ht="16" customHeight="1" x14ac:dyDescent="0.2">
      <c r="A27" s="62"/>
    </row>
    <row r="28" spans="1:20" ht="16" customHeight="1" x14ac:dyDescent="0.2"/>
    <row r="29" spans="1:20" ht="16" customHeight="1" x14ac:dyDescent="0.2"/>
    <row r="30" spans="1:20" ht="16" customHeight="1" x14ac:dyDescent="0.2"/>
    <row r="31" spans="1:20" ht="16" customHeight="1" x14ac:dyDescent="0.2"/>
    <row r="32" spans="1:20" ht="16" customHeight="1" x14ac:dyDescent="0.2"/>
    <row r="33" ht="16" customHeight="1" x14ac:dyDescent="0.2"/>
    <row r="34" ht="16" customHeight="1" x14ac:dyDescent="0.2"/>
    <row r="35" ht="16" customHeight="1" x14ac:dyDescent="0.2"/>
    <row r="36" ht="16" customHeight="1" x14ac:dyDescent="0.2"/>
    <row r="37" ht="16" customHeight="1" x14ac:dyDescent="0.2"/>
    <row r="38" ht="16" customHeight="1" x14ac:dyDescent="0.2"/>
    <row r="39" ht="16" customHeight="1" x14ac:dyDescent="0.2"/>
    <row r="40" ht="16" customHeight="1" x14ac:dyDescent="0.2"/>
    <row r="41" ht="16" customHeight="1" x14ac:dyDescent="0.2"/>
    <row r="42" ht="16" customHeight="1" x14ac:dyDescent="0.2"/>
    <row r="43" ht="16" customHeight="1" x14ac:dyDescent="0.2"/>
    <row r="44" ht="16" customHeight="1" x14ac:dyDescent="0.2"/>
    <row r="45" ht="16" customHeight="1" x14ac:dyDescent="0.2"/>
    <row r="46" ht="16" customHeight="1" x14ac:dyDescent="0.2"/>
    <row r="47" ht="16" customHeight="1" x14ac:dyDescent="0.2"/>
    <row r="48" ht="16" customHeight="1" x14ac:dyDescent="0.2"/>
    <row r="49" ht="16" customHeight="1" x14ac:dyDescent="0.2"/>
    <row r="50" ht="16" customHeight="1" x14ac:dyDescent="0.2"/>
    <row r="51" ht="16" customHeight="1" x14ac:dyDescent="0.2"/>
    <row r="52" ht="16" customHeight="1" x14ac:dyDescent="0.2"/>
    <row r="53" ht="16" customHeight="1" x14ac:dyDescent="0.2"/>
    <row r="54" ht="16" customHeight="1" x14ac:dyDescent="0.2"/>
    <row r="55" ht="16" customHeight="1" x14ac:dyDescent="0.2"/>
    <row r="56" ht="16" customHeight="1" x14ac:dyDescent="0.2"/>
    <row r="57" ht="16" customHeight="1" x14ac:dyDescent="0.2"/>
    <row r="58" ht="16" customHeight="1" x14ac:dyDescent="0.2"/>
    <row r="59" ht="16" customHeight="1" x14ac:dyDescent="0.2"/>
    <row r="60" ht="16" customHeight="1" x14ac:dyDescent="0.2"/>
    <row r="61" ht="16" customHeight="1" x14ac:dyDescent="0.2"/>
    <row r="62" ht="16" customHeight="1" x14ac:dyDescent="0.2"/>
    <row r="63" ht="16" customHeight="1" x14ac:dyDescent="0.2"/>
    <row r="64" ht="16" customHeight="1" x14ac:dyDescent="0.2"/>
    <row r="65" ht="16" customHeight="1" x14ac:dyDescent="0.2"/>
    <row r="66" ht="16" customHeight="1" x14ac:dyDescent="0.2"/>
    <row r="67" ht="16" customHeight="1" x14ac:dyDescent="0.2"/>
    <row r="68" ht="16" customHeight="1" x14ac:dyDescent="0.2"/>
    <row r="69" ht="16" customHeight="1" x14ac:dyDescent="0.2"/>
    <row r="70" ht="16" customHeight="1" x14ac:dyDescent="0.2"/>
  </sheetData>
  <pageMargins left="0.7" right="0.7" top="0.75" bottom="0.75" header="0.3" footer="0.3"/>
  <pageSetup paperSize="9"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A1:AL995"/>
  <sheetViews>
    <sheetView showGridLines="0" zoomScale="120" zoomScaleNormal="120" workbookViewId="0">
      <selection activeCell="C7" sqref="C7:J8"/>
    </sheetView>
  </sheetViews>
  <sheetFormatPr baseColWidth="10" defaultColWidth="14.5" defaultRowHeight="15" customHeight="1" x14ac:dyDescent="0.2"/>
  <cols>
    <col min="1" max="1" width="51.6640625" customWidth="1"/>
    <col min="2" max="2" width="1.33203125" customWidth="1"/>
    <col min="3" max="34" width="9.1640625" customWidth="1"/>
    <col min="35" max="35" width="10.6640625" bestFit="1" customWidth="1"/>
    <col min="36" max="36" width="11" bestFit="1" customWidth="1"/>
    <col min="37" max="37" width="10.6640625" bestFit="1" customWidth="1"/>
    <col min="38" max="38" width="11" bestFit="1" customWidth="1"/>
  </cols>
  <sheetData>
    <row r="1" spans="1:38" ht="31.5" customHeight="1" x14ac:dyDescent="0.2">
      <c r="A1" s="10" t="s">
        <v>153</v>
      </c>
      <c r="B1" s="10"/>
      <c r="C1" s="11" t="s">
        <v>154</v>
      </c>
      <c r="D1" s="10"/>
      <c r="E1" s="10"/>
      <c r="F1" s="10"/>
      <c r="G1" s="10"/>
      <c r="H1" s="10"/>
      <c r="I1" s="10"/>
      <c r="J1" s="10"/>
      <c r="K1" s="10"/>
      <c r="L1" s="10"/>
      <c r="M1" s="10"/>
      <c r="N1" s="10"/>
      <c r="O1" s="10"/>
      <c r="P1" s="10"/>
      <c r="Q1" s="10"/>
      <c r="R1" s="10"/>
      <c r="S1" s="10"/>
      <c r="T1" s="10"/>
    </row>
    <row r="2" spans="1:38" ht="31.5" customHeight="1" x14ac:dyDescent="0.2">
      <c r="A2" s="10" t="s">
        <v>36</v>
      </c>
      <c r="B2" s="10"/>
      <c r="C2" s="11" t="s">
        <v>37</v>
      </c>
      <c r="D2" s="10"/>
      <c r="E2" s="10"/>
      <c r="F2" s="10"/>
      <c r="G2" s="10"/>
      <c r="H2" s="10"/>
      <c r="I2" s="10"/>
      <c r="J2" s="10"/>
      <c r="K2" s="10"/>
      <c r="L2" s="10"/>
      <c r="M2" s="10"/>
      <c r="N2" s="10"/>
      <c r="O2" s="10"/>
      <c r="P2" s="10"/>
      <c r="Q2" s="10"/>
      <c r="R2" s="10"/>
      <c r="S2" s="10"/>
      <c r="T2" s="10"/>
    </row>
    <row r="3" spans="1:38" ht="31.5" customHeight="1" x14ac:dyDescent="0.25">
      <c r="A3" s="12"/>
      <c r="B3" s="3"/>
      <c r="C3" s="13"/>
      <c r="D3" s="14"/>
      <c r="E3" s="14"/>
      <c r="F3" s="14"/>
      <c r="G3" s="14"/>
      <c r="H3" s="14"/>
      <c r="I3" s="14"/>
      <c r="J3" s="14"/>
      <c r="K3" s="14"/>
      <c r="L3" s="14"/>
      <c r="M3" s="14"/>
      <c r="N3" s="14"/>
      <c r="O3" s="3"/>
      <c r="P3" s="3"/>
      <c r="Q3" s="3"/>
      <c r="R3" s="3"/>
      <c r="S3" s="3"/>
      <c r="T3" s="3"/>
      <c r="U3" s="3"/>
      <c r="V3" s="3"/>
      <c r="W3" s="3"/>
      <c r="X3" s="3"/>
      <c r="Y3" s="3"/>
      <c r="Z3" s="3"/>
      <c r="AA3" s="3"/>
      <c r="AB3" s="3"/>
      <c r="AC3" s="3"/>
      <c r="AD3" s="3"/>
      <c r="AE3" s="3"/>
      <c r="AF3" s="3"/>
      <c r="AG3" s="3"/>
      <c r="AH3" s="3"/>
      <c r="AI3" s="3"/>
      <c r="AJ3" s="3"/>
      <c r="AK3" s="3"/>
      <c r="AL3" s="3"/>
    </row>
    <row r="4" spans="1:38" ht="19" x14ac:dyDescent="0.25">
      <c r="A4" s="15" t="s">
        <v>61</v>
      </c>
      <c r="B4" s="3"/>
      <c r="C4" s="13"/>
      <c r="D4" s="14"/>
      <c r="E4" s="14"/>
      <c r="F4" s="14"/>
      <c r="G4" s="14"/>
      <c r="H4" s="14"/>
      <c r="I4" s="14"/>
      <c r="J4" s="14"/>
      <c r="K4" s="14"/>
      <c r="L4" s="14"/>
      <c r="M4" s="14"/>
      <c r="N4" s="14"/>
      <c r="O4" s="3"/>
      <c r="P4" s="3"/>
      <c r="Q4" s="3"/>
      <c r="R4" s="3"/>
      <c r="S4" s="3"/>
      <c r="T4" s="3"/>
      <c r="U4" s="3"/>
      <c r="V4" s="3"/>
      <c r="W4" s="3"/>
      <c r="X4" s="3"/>
      <c r="Y4" s="3"/>
      <c r="Z4" s="3"/>
      <c r="AA4" s="3"/>
      <c r="AB4" s="3"/>
      <c r="AC4" s="3"/>
      <c r="AD4" s="3"/>
      <c r="AE4" s="3"/>
      <c r="AF4" s="3"/>
      <c r="AG4" s="3"/>
      <c r="AH4" s="3"/>
      <c r="AI4" s="3"/>
      <c r="AJ4" s="3"/>
      <c r="AK4" s="3"/>
      <c r="AL4" s="3"/>
    </row>
    <row r="5" spans="1:38" ht="16" x14ac:dyDescent="0.2">
      <c r="A5" s="16" t="str">
        <f>(A1&amp;" - "&amp;A2)</f>
        <v>Indicator 4a - Indicator 4b</v>
      </c>
      <c r="B5" s="3"/>
      <c r="C5" s="17" t="s">
        <v>62</v>
      </c>
      <c r="D5" s="17" t="s">
        <v>63</v>
      </c>
      <c r="E5" s="17" t="s">
        <v>64</v>
      </c>
      <c r="F5" s="17" t="s">
        <v>65</v>
      </c>
      <c r="G5" s="17" t="s">
        <v>62</v>
      </c>
      <c r="H5" s="17" t="s">
        <v>63</v>
      </c>
      <c r="I5" s="17" t="s">
        <v>64</v>
      </c>
      <c r="J5" s="17" t="s">
        <v>65</v>
      </c>
      <c r="K5" s="17" t="s">
        <v>62</v>
      </c>
      <c r="L5" s="17" t="s">
        <v>63</v>
      </c>
      <c r="M5" s="17" t="s">
        <v>64</v>
      </c>
      <c r="N5" s="17" t="s">
        <v>65</v>
      </c>
      <c r="O5" s="17" t="s">
        <v>62</v>
      </c>
      <c r="P5" s="17" t="s">
        <v>63</v>
      </c>
      <c r="Q5" s="17" t="s">
        <v>64</v>
      </c>
      <c r="R5" s="17" t="s">
        <v>65</v>
      </c>
      <c r="S5" s="17" t="s">
        <v>62</v>
      </c>
      <c r="T5" s="17" t="s">
        <v>63</v>
      </c>
      <c r="U5" s="17" t="s">
        <v>64</v>
      </c>
      <c r="V5" s="17" t="s">
        <v>65</v>
      </c>
      <c r="W5" s="17" t="s">
        <v>62</v>
      </c>
      <c r="X5" s="17" t="s">
        <v>63</v>
      </c>
      <c r="Y5" s="17" t="s">
        <v>64</v>
      </c>
      <c r="Z5" s="17" t="s">
        <v>65</v>
      </c>
      <c r="AA5" s="17" t="s">
        <v>62</v>
      </c>
      <c r="AB5" s="17" t="s">
        <v>63</v>
      </c>
      <c r="AC5" s="17" t="s">
        <v>64</v>
      </c>
      <c r="AD5" s="17" t="s">
        <v>65</v>
      </c>
      <c r="AE5" s="17" t="s">
        <v>62</v>
      </c>
      <c r="AF5" s="17" t="s">
        <v>63</v>
      </c>
      <c r="AG5" s="17" t="s">
        <v>64</v>
      </c>
      <c r="AH5" s="17" t="s">
        <v>65</v>
      </c>
      <c r="AI5" s="17" t="s">
        <v>62</v>
      </c>
      <c r="AJ5" s="17" t="s">
        <v>63</v>
      </c>
      <c r="AK5" s="17" t="s">
        <v>64</v>
      </c>
      <c r="AL5" s="17" t="s">
        <v>65</v>
      </c>
    </row>
    <row r="6" spans="1:38" ht="26" x14ac:dyDescent="0.2">
      <c r="A6" s="16"/>
      <c r="B6" s="3"/>
      <c r="C6" s="17" t="s">
        <v>385</v>
      </c>
      <c r="D6" s="17" t="s">
        <v>386</v>
      </c>
      <c r="E6" s="17" t="s">
        <v>387</v>
      </c>
      <c r="F6" s="17" t="s">
        <v>388</v>
      </c>
      <c r="G6" s="17" t="s">
        <v>66</v>
      </c>
      <c r="H6" s="17" t="s">
        <v>67</v>
      </c>
      <c r="I6" s="17" t="s">
        <v>68</v>
      </c>
      <c r="J6" s="17" t="s">
        <v>69</v>
      </c>
      <c r="K6" s="17" t="s">
        <v>70</v>
      </c>
      <c r="L6" s="17" t="s">
        <v>71</v>
      </c>
      <c r="M6" s="17" t="s">
        <v>72</v>
      </c>
      <c r="N6" s="17" t="s">
        <v>73</v>
      </c>
      <c r="O6" s="17" t="s">
        <v>74</v>
      </c>
      <c r="P6" s="17" t="s">
        <v>75</v>
      </c>
      <c r="Q6" s="17" t="s">
        <v>76</v>
      </c>
      <c r="R6" s="17" t="s">
        <v>77</v>
      </c>
      <c r="S6" s="58" t="s">
        <v>321</v>
      </c>
      <c r="T6" s="17" t="s">
        <v>322</v>
      </c>
      <c r="U6" s="17" t="s">
        <v>323</v>
      </c>
      <c r="V6" s="17" t="s">
        <v>324</v>
      </c>
      <c r="W6" s="58" t="s">
        <v>325</v>
      </c>
      <c r="X6" s="17" t="s">
        <v>326</v>
      </c>
      <c r="Y6" s="17" t="s">
        <v>327</v>
      </c>
      <c r="Z6" s="17" t="s">
        <v>328</v>
      </c>
      <c r="AA6" s="17" t="s">
        <v>329</v>
      </c>
      <c r="AB6" s="17" t="s">
        <v>330</v>
      </c>
      <c r="AC6" s="17" t="s">
        <v>331</v>
      </c>
      <c r="AD6" s="17" t="s">
        <v>332</v>
      </c>
      <c r="AE6" s="17" t="s">
        <v>333</v>
      </c>
      <c r="AF6" s="17" t="s">
        <v>334</v>
      </c>
      <c r="AG6" s="17" t="s">
        <v>335</v>
      </c>
      <c r="AH6" s="17" t="s">
        <v>336</v>
      </c>
      <c r="AI6" s="17" t="s">
        <v>337</v>
      </c>
      <c r="AJ6" s="17" t="s">
        <v>338</v>
      </c>
      <c r="AK6" s="17" t="s">
        <v>339</v>
      </c>
      <c r="AL6" s="17" t="s">
        <v>340</v>
      </c>
    </row>
    <row r="7" spans="1:38" ht="16" x14ac:dyDescent="0.2">
      <c r="A7" s="18" t="s">
        <v>155</v>
      </c>
      <c r="B7" s="3"/>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row>
    <row r="8" spans="1:38" ht="16" x14ac:dyDescent="0.2">
      <c r="A8" s="18" t="s">
        <v>156</v>
      </c>
      <c r="B8" s="3"/>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row>
    <row r="9" spans="1:38" ht="17" thickBot="1" x14ac:dyDescent="0.25">
      <c r="A9" s="22" t="s">
        <v>111</v>
      </c>
      <c r="B9" s="3"/>
      <c r="C9" s="40">
        <f t="shared" ref="C9:R9" si="0">SUM(C7:C8)</f>
        <v>0</v>
      </c>
      <c r="D9" s="40">
        <f t="shared" si="0"/>
        <v>0</v>
      </c>
      <c r="E9" s="40">
        <f t="shared" si="0"/>
        <v>0</v>
      </c>
      <c r="F9" s="40">
        <f t="shared" si="0"/>
        <v>0</v>
      </c>
      <c r="G9" s="40">
        <f t="shared" si="0"/>
        <v>0</v>
      </c>
      <c r="H9" s="40">
        <f t="shared" si="0"/>
        <v>0</v>
      </c>
      <c r="I9" s="40">
        <f t="shared" si="0"/>
        <v>0</v>
      </c>
      <c r="J9" s="40">
        <f t="shared" si="0"/>
        <v>0</v>
      </c>
      <c r="K9" s="40">
        <f t="shared" si="0"/>
        <v>0</v>
      </c>
      <c r="L9" s="40">
        <f t="shared" si="0"/>
        <v>0</v>
      </c>
      <c r="M9" s="40">
        <f t="shared" si="0"/>
        <v>0</v>
      </c>
      <c r="N9" s="40">
        <f t="shared" si="0"/>
        <v>0</v>
      </c>
      <c r="O9" s="40">
        <f t="shared" si="0"/>
        <v>0</v>
      </c>
      <c r="P9" s="40">
        <f t="shared" si="0"/>
        <v>0</v>
      </c>
      <c r="Q9" s="40">
        <f t="shared" si="0"/>
        <v>0</v>
      </c>
      <c r="R9" s="40">
        <f t="shared" si="0"/>
        <v>0</v>
      </c>
      <c r="S9" s="40">
        <f t="shared" ref="S9:AL9" si="1">SUM(S7:S8)</f>
        <v>0</v>
      </c>
      <c r="T9" s="40">
        <f t="shared" si="1"/>
        <v>0</v>
      </c>
      <c r="U9" s="40">
        <f t="shared" si="1"/>
        <v>0</v>
      </c>
      <c r="V9" s="40">
        <f t="shared" si="1"/>
        <v>0</v>
      </c>
      <c r="W9" s="40">
        <f t="shared" si="1"/>
        <v>0</v>
      </c>
      <c r="X9" s="40">
        <f t="shared" si="1"/>
        <v>0</v>
      </c>
      <c r="Y9" s="40">
        <f t="shared" si="1"/>
        <v>0</v>
      </c>
      <c r="Z9" s="40">
        <f t="shared" si="1"/>
        <v>0</v>
      </c>
      <c r="AA9" s="40">
        <f t="shared" si="1"/>
        <v>0</v>
      </c>
      <c r="AB9" s="40">
        <f t="shared" si="1"/>
        <v>0</v>
      </c>
      <c r="AC9" s="40">
        <f t="shared" si="1"/>
        <v>0</v>
      </c>
      <c r="AD9" s="40">
        <f t="shared" si="1"/>
        <v>0</v>
      </c>
      <c r="AE9" s="40">
        <f t="shared" si="1"/>
        <v>0</v>
      </c>
      <c r="AF9" s="40">
        <f t="shared" si="1"/>
        <v>0</v>
      </c>
      <c r="AG9" s="40">
        <f t="shared" si="1"/>
        <v>0</v>
      </c>
      <c r="AH9" s="40">
        <f t="shared" si="1"/>
        <v>0</v>
      </c>
      <c r="AI9" s="40">
        <f t="shared" si="1"/>
        <v>0</v>
      </c>
      <c r="AJ9" s="40">
        <f t="shared" si="1"/>
        <v>0</v>
      </c>
      <c r="AK9" s="40">
        <f t="shared" si="1"/>
        <v>0</v>
      </c>
      <c r="AL9" s="40">
        <f t="shared" si="1"/>
        <v>0</v>
      </c>
    </row>
    <row r="10" spans="1:38" ht="16" thickTop="1" x14ac:dyDescent="0.2">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row>
    <row r="11" spans="1:38" ht="15.75" customHeight="1" x14ac:dyDescent="0.2">
      <c r="A11" s="15" t="s">
        <v>115</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row>
    <row r="12" spans="1:38" ht="111.75" customHeight="1" x14ac:dyDescent="0.2">
      <c r="A12" s="4" t="s">
        <v>116</v>
      </c>
      <c r="B12" s="3"/>
      <c r="C12" s="85"/>
      <c r="D12" s="86"/>
      <c r="E12" s="86"/>
      <c r="F12" s="86"/>
      <c r="G12" s="86"/>
      <c r="H12" s="86"/>
      <c r="I12" s="86"/>
      <c r="J12" s="86"/>
      <c r="K12" s="86"/>
      <c r="L12" s="86"/>
      <c r="M12" s="86"/>
      <c r="N12" s="86"/>
      <c r="O12" s="86"/>
      <c r="P12" s="86"/>
      <c r="Q12" s="86"/>
      <c r="R12" s="86"/>
      <c r="S12" s="86"/>
      <c r="T12" s="87"/>
      <c r="U12" s="3"/>
      <c r="V12" s="3"/>
      <c r="W12" s="3"/>
      <c r="X12" s="3"/>
      <c r="Y12" s="3"/>
      <c r="Z12" s="3"/>
      <c r="AA12" s="3"/>
      <c r="AB12" s="3"/>
      <c r="AC12" s="3"/>
      <c r="AD12" s="3"/>
      <c r="AE12" s="3"/>
      <c r="AF12" s="3"/>
      <c r="AG12" s="3"/>
      <c r="AH12" s="3"/>
      <c r="AI12" s="3"/>
      <c r="AJ12" s="3"/>
      <c r="AK12" s="3"/>
      <c r="AL12" s="3"/>
    </row>
    <row r="13" spans="1:38" ht="31.5" customHeight="1" x14ac:dyDescent="0.2">
      <c r="A13" s="24"/>
      <c r="B13" s="3"/>
      <c r="C13" s="25"/>
      <c r="D13" s="25"/>
      <c r="E13" s="25"/>
      <c r="F13" s="25"/>
      <c r="G13" s="25"/>
      <c r="H13" s="25"/>
      <c r="I13" s="25"/>
      <c r="J13" s="25"/>
      <c r="K13" s="25"/>
      <c r="L13" s="25"/>
      <c r="M13" s="25"/>
      <c r="N13" s="25"/>
      <c r="O13" s="3"/>
      <c r="P13" s="3"/>
      <c r="Q13" s="3"/>
      <c r="R13" s="3"/>
      <c r="S13" s="3"/>
      <c r="T13" s="3"/>
      <c r="U13" s="3"/>
      <c r="V13" s="3"/>
      <c r="W13" s="3"/>
      <c r="X13" s="3"/>
      <c r="Y13" s="3"/>
      <c r="Z13" s="3"/>
      <c r="AA13" s="3"/>
      <c r="AB13" s="3"/>
      <c r="AC13" s="3"/>
      <c r="AD13" s="3"/>
      <c r="AE13" s="3"/>
      <c r="AF13" s="3"/>
      <c r="AG13" s="3"/>
      <c r="AH13" s="3"/>
      <c r="AI13" s="3"/>
      <c r="AJ13" s="3"/>
      <c r="AK13" s="3"/>
      <c r="AL13" s="3"/>
    </row>
    <row r="14" spans="1:38" ht="31.5" customHeight="1" x14ac:dyDescent="0.2">
      <c r="A14" s="29"/>
      <c r="B14" s="29"/>
      <c r="C14" s="29"/>
      <c r="D14" s="29"/>
      <c r="E14" s="29"/>
      <c r="F14" s="29"/>
      <c r="G14" s="29"/>
      <c r="H14" s="29"/>
      <c r="I14" s="29"/>
      <c r="J14" s="29"/>
      <c r="K14" s="29"/>
      <c r="L14" s="29"/>
      <c r="M14" s="29"/>
      <c r="N14" s="29"/>
      <c r="O14" s="29"/>
      <c r="P14" s="29"/>
      <c r="Q14" s="29"/>
      <c r="R14" s="29"/>
      <c r="S14" s="29"/>
      <c r="T14" s="29"/>
      <c r="U14" s="3"/>
      <c r="V14" s="3"/>
      <c r="W14" s="3"/>
      <c r="X14" s="3"/>
      <c r="Y14" s="3"/>
      <c r="Z14" s="3"/>
      <c r="AA14" s="3"/>
      <c r="AB14" s="3"/>
      <c r="AC14" s="3"/>
      <c r="AD14" s="3"/>
      <c r="AE14" s="3"/>
      <c r="AF14" s="3"/>
      <c r="AG14" s="3"/>
      <c r="AH14" s="3"/>
      <c r="AI14" s="3"/>
      <c r="AJ14" s="3"/>
      <c r="AK14" s="3"/>
      <c r="AL14" s="3"/>
    </row>
    <row r="15" spans="1:38" ht="31.5" customHeight="1" x14ac:dyDescent="0.2">
      <c r="A15" s="15" t="s">
        <v>320</v>
      </c>
      <c r="B15" s="60"/>
      <c r="C15" s="60"/>
      <c r="D15" s="60"/>
      <c r="E15" s="60"/>
      <c r="F15" s="60"/>
      <c r="G15" s="60"/>
      <c r="H15" s="60"/>
      <c r="I15" s="60"/>
      <c r="J15" s="60"/>
      <c r="K15" s="60"/>
      <c r="L15" s="60"/>
      <c r="M15" s="60"/>
      <c r="N15" s="60"/>
      <c r="O15" s="60"/>
      <c r="P15" s="60"/>
      <c r="Q15" s="60"/>
      <c r="R15" s="60"/>
      <c r="S15" s="60"/>
      <c r="T15" s="60"/>
      <c r="U15" s="3"/>
      <c r="V15" s="3"/>
      <c r="W15" s="3"/>
      <c r="X15" s="3"/>
      <c r="Y15" s="3"/>
      <c r="Z15" s="3"/>
      <c r="AA15" s="3"/>
      <c r="AB15" s="3"/>
      <c r="AC15" s="3"/>
      <c r="AD15" s="3"/>
      <c r="AE15" s="3"/>
      <c r="AF15" s="3"/>
      <c r="AG15" s="3"/>
      <c r="AH15" s="3"/>
      <c r="AI15" s="3"/>
      <c r="AJ15" s="3"/>
      <c r="AK15" s="3"/>
      <c r="AL15" s="3"/>
    </row>
    <row r="16" spans="1:38" ht="306" customHeight="1" x14ac:dyDescent="0.2">
      <c r="A16" s="60"/>
      <c r="B16" s="60"/>
      <c r="C16" s="60"/>
      <c r="D16" s="60"/>
      <c r="E16" s="60"/>
      <c r="F16" s="60"/>
      <c r="G16" s="60"/>
      <c r="H16" s="60"/>
      <c r="I16" s="60"/>
      <c r="J16" s="60"/>
      <c r="K16" s="60"/>
      <c r="L16" s="60"/>
      <c r="M16" s="60"/>
      <c r="N16" s="60"/>
      <c r="O16" s="60"/>
      <c r="P16" s="60"/>
      <c r="Q16" s="60"/>
      <c r="R16" s="60"/>
      <c r="S16" s="60"/>
      <c r="T16" s="60"/>
      <c r="U16" s="3"/>
      <c r="V16" s="3"/>
      <c r="W16" s="3"/>
      <c r="X16" s="3"/>
      <c r="Y16" s="3"/>
      <c r="Z16" s="3"/>
      <c r="AA16" s="3"/>
      <c r="AB16" s="3"/>
      <c r="AC16" s="3"/>
      <c r="AD16" s="3"/>
      <c r="AE16" s="3"/>
      <c r="AF16" s="3"/>
      <c r="AG16" s="3"/>
      <c r="AH16" s="3"/>
      <c r="AI16" s="3"/>
      <c r="AJ16" s="3"/>
      <c r="AK16" s="3"/>
      <c r="AL16" s="3"/>
    </row>
    <row r="17" spans="1:38" ht="28" customHeight="1" x14ac:dyDescent="0.2">
      <c r="A17" s="60"/>
      <c r="B17" s="60"/>
      <c r="C17" s="60"/>
      <c r="D17" s="60"/>
      <c r="E17" s="60"/>
      <c r="F17" s="60"/>
      <c r="G17" s="60"/>
      <c r="H17" s="60"/>
      <c r="I17" s="60"/>
      <c r="J17" s="60"/>
      <c r="K17" s="60"/>
      <c r="L17" s="60"/>
      <c r="M17" s="60"/>
      <c r="N17" s="60"/>
      <c r="O17" s="60"/>
      <c r="P17" s="60"/>
      <c r="Q17" s="60"/>
      <c r="R17" s="60"/>
      <c r="S17" s="60"/>
      <c r="T17" s="60"/>
      <c r="U17" s="3"/>
      <c r="V17" s="3"/>
      <c r="W17" s="3"/>
      <c r="X17" s="3"/>
      <c r="Y17" s="3"/>
      <c r="Z17" s="3"/>
      <c r="AA17" s="3"/>
      <c r="AB17" s="3"/>
      <c r="AC17" s="3"/>
      <c r="AD17" s="3"/>
      <c r="AE17" s="3"/>
      <c r="AF17" s="3"/>
      <c r="AG17" s="3"/>
      <c r="AH17" s="3"/>
      <c r="AI17" s="3"/>
      <c r="AJ17" s="3"/>
      <c r="AK17" s="3"/>
      <c r="AL17" s="3"/>
    </row>
    <row r="18" spans="1:38" ht="17.25" customHeight="1" x14ac:dyDescent="0.2">
      <c r="A18" s="15" t="s">
        <v>117</v>
      </c>
      <c r="B18" s="3"/>
      <c r="C18" s="25"/>
      <c r="D18" s="25"/>
      <c r="E18" s="25"/>
      <c r="F18" s="25"/>
      <c r="G18" s="25"/>
      <c r="H18" s="25"/>
      <c r="I18" s="25"/>
      <c r="J18" s="25"/>
      <c r="K18" s="25"/>
      <c r="L18" s="25"/>
      <c r="M18" s="25"/>
      <c r="N18" s="25"/>
      <c r="O18" s="3"/>
      <c r="P18" s="3"/>
      <c r="Q18" s="3"/>
      <c r="R18" s="3"/>
      <c r="S18" s="3"/>
      <c r="T18" s="3"/>
      <c r="U18" s="3"/>
      <c r="V18" s="3"/>
      <c r="W18" s="3"/>
      <c r="X18" s="3"/>
      <c r="Y18" s="3"/>
      <c r="Z18" s="3"/>
      <c r="AA18" s="3"/>
      <c r="AB18" s="3"/>
      <c r="AC18" s="3"/>
      <c r="AD18" s="3"/>
      <c r="AE18" s="3"/>
      <c r="AF18" s="3"/>
      <c r="AG18" s="3"/>
      <c r="AH18" s="3"/>
      <c r="AI18" s="3"/>
      <c r="AJ18" s="3"/>
      <c r="AK18" s="3"/>
      <c r="AL18" s="3"/>
    </row>
    <row r="19" spans="1:38" ht="31.5" customHeight="1" x14ac:dyDescent="0.2">
      <c r="A19" s="31" t="str">
        <f>(A1&amp;" – "&amp;A2)</f>
        <v>Indicator 4a – Indicator 4b</v>
      </c>
      <c r="B19" s="3"/>
      <c r="C19" s="82"/>
      <c r="D19" s="83"/>
      <c r="E19" s="83"/>
      <c r="F19" s="83"/>
      <c r="G19" s="83"/>
      <c r="H19" s="83"/>
      <c r="I19" s="83"/>
      <c r="J19" s="83"/>
      <c r="K19" s="83"/>
      <c r="L19" s="83"/>
      <c r="M19" s="83"/>
      <c r="N19" s="83"/>
      <c r="O19" s="3"/>
      <c r="P19" s="3"/>
      <c r="Q19" s="3"/>
      <c r="R19" s="3"/>
      <c r="S19" s="3"/>
      <c r="T19" s="3"/>
      <c r="U19" s="3"/>
      <c r="V19" s="3"/>
      <c r="W19" s="3"/>
      <c r="X19" s="3"/>
      <c r="Y19" s="3"/>
      <c r="Z19" s="3"/>
      <c r="AA19" s="3"/>
      <c r="AB19" s="3"/>
      <c r="AC19" s="3"/>
      <c r="AD19" s="3"/>
      <c r="AE19" s="3"/>
      <c r="AF19" s="3"/>
      <c r="AG19" s="3"/>
      <c r="AH19" s="3"/>
      <c r="AI19" s="3"/>
      <c r="AJ19" s="3"/>
      <c r="AK19" s="3"/>
      <c r="AL19" s="3"/>
    </row>
    <row r="20" spans="1:38" ht="17.25" customHeight="1" x14ac:dyDescent="0.2">
      <c r="A20" s="24"/>
      <c r="B20" s="3"/>
      <c r="C20" s="32"/>
      <c r="D20" s="32"/>
      <c r="E20" s="32"/>
      <c r="F20" s="32"/>
      <c r="G20" s="32"/>
      <c r="H20" s="32"/>
      <c r="I20" s="32"/>
      <c r="J20" s="32"/>
      <c r="K20" s="32"/>
      <c r="L20" s="32"/>
      <c r="M20" s="32"/>
      <c r="N20" s="32"/>
      <c r="O20" s="3"/>
      <c r="P20" s="3"/>
      <c r="Q20" s="3"/>
      <c r="R20" s="3"/>
      <c r="S20" s="3"/>
      <c r="T20" s="3"/>
      <c r="U20" s="3"/>
      <c r="V20" s="3"/>
      <c r="W20" s="3"/>
      <c r="X20" s="3"/>
      <c r="Y20" s="3"/>
      <c r="Z20" s="3"/>
      <c r="AA20" s="3"/>
      <c r="AB20" s="3"/>
      <c r="AC20" s="3"/>
      <c r="AD20" s="3"/>
      <c r="AE20" s="3"/>
      <c r="AF20" s="3"/>
      <c r="AG20" s="3"/>
      <c r="AH20" s="3"/>
      <c r="AI20" s="3"/>
      <c r="AJ20" s="3"/>
      <c r="AK20" s="3"/>
      <c r="AL20" s="3"/>
    </row>
    <row r="21" spans="1:38" ht="17.25" customHeight="1" x14ac:dyDescent="0.2">
      <c r="A21" s="15" t="s">
        <v>119</v>
      </c>
      <c r="B21" s="3"/>
      <c r="C21" s="32"/>
      <c r="D21" s="32"/>
      <c r="E21" s="32"/>
      <c r="F21" s="32"/>
      <c r="G21" s="32"/>
      <c r="H21" s="32"/>
      <c r="I21" s="32"/>
      <c r="J21" s="32"/>
      <c r="K21" s="32"/>
      <c r="L21" s="32"/>
      <c r="M21" s="32"/>
      <c r="N21" s="32"/>
      <c r="O21" s="3"/>
      <c r="P21" s="3"/>
      <c r="Q21" s="3"/>
      <c r="R21" s="3"/>
      <c r="S21" s="3"/>
      <c r="T21" s="3"/>
      <c r="U21" s="3"/>
      <c r="V21" s="3"/>
      <c r="W21" s="3"/>
      <c r="X21" s="3"/>
      <c r="Y21" s="3"/>
      <c r="Z21" s="3"/>
      <c r="AA21" s="3"/>
      <c r="AB21" s="3"/>
      <c r="AC21" s="3"/>
      <c r="AD21" s="3"/>
      <c r="AE21" s="3"/>
      <c r="AF21" s="3"/>
      <c r="AG21" s="3"/>
      <c r="AH21" s="3"/>
      <c r="AI21" s="3"/>
      <c r="AJ21" s="3"/>
      <c r="AK21" s="3"/>
      <c r="AL21" s="3"/>
    </row>
    <row r="22" spans="1:38" ht="30" customHeight="1" x14ac:dyDescent="0.2">
      <c r="A22" s="31" t="s">
        <v>157</v>
      </c>
      <c r="B22" s="3"/>
      <c r="C22" s="82"/>
      <c r="D22" s="83"/>
      <c r="E22" s="83"/>
      <c r="F22" s="83"/>
      <c r="G22" s="83"/>
      <c r="H22" s="83"/>
      <c r="I22" s="83"/>
      <c r="J22" s="83"/>
      <c r="K22" s="83"/>
      <c r="L22" s="83"/>
      <c r="M22" s="83"/>
      <c r="N22" s="83"/>
      <c r="O22" s="3"/>
      <c r="P22" s="3"/>
      <c r="Q22" s="3"/>
      <c r="R22" s="3"/>
      <c r="S22" s="3"/>
      <c r="T22" s="3"/>
      <c r="U22" s="3"/>
      <c r="V22" s="3"/>
      <c r="W22" s="3"/>
      <c r="X22" s="3"/>
      <c r="Y22" s="3"/>
      <c r="Z22" s="3"/>
      <c r="AA22" s="3"/>
      <c r="AB22" s="3"/>
      <c r="AC22" s="3"/>
      <c r="AD22" s="3"/>
      <c r="AE22" s="3"/>
      <c r="AF22" s="3"/>
      <c r="AG22" s="3"/>
      <c r="AH22" s="3"/>
      <c r="AI22" s="3"/>
      <c r="AJ22" s="3"/>
      <c r="AK22" s="3"/>
      <c r="AL22" s="3"/>
    </row>
    <row r="23" spans="1:38" ht="15.75" customHeight="1" x14ac:dyDescent="0.2">
      <c r="A23" s="3"/>
      <c r="B23" s="3"/>
      <c r="C23" s="32"/>
      <c r="D23" s="32"/>
      <c r="E23" s="32"/>
      <c r="F23" s="32"/>
      <c r="G23" s="32"/>
      <c r="H23" s="32"/>
      <c r="I23" s="32"/>
      <c r="J23" s="32"/>
      <c r="K23" s="32"/>
      <c r="L23" s="32"/>
      <c r="M23" s="32"/>
      <c r="N23" s="32"/>
      <c r="O23" s="3"/>
      <c r="P23" s="3"/>
      <c r="Q23" s="3"/>
      <c r="R23" s="3"/>
      <c r="S23" s="3"/>
      <c r="T23" s="3"/>
      <c r="U23" s="3"/>
      <c r="V23" s="3"/>
      <c r="W23" s="3"/>
      <c r="X23" s="3"/>
      <c r="Y23" s="3"/>
      <c r="Z23" s="3"/>
      <c r="AA23" s="3"/>
      <c r="AB23" s="3"/>
      <c r="AC23" s="3"/>
      <c r="AD23" s="3"/>
      <c r="AE23" s="3"/>
      <c r="AF23" s="3"/>
      <c r="AG23" s="3"/>
      <c r="AH23" s="3"/>
      <c r="AI23" s="3"/>
      <c r="AJ23" s="3"/>
      <c r="AK23" s="3"/>
      <c r="AL23" s="3"/>
    </row>
    <row r="24" spans="1:38" ht="15.75" customHeight="1" x14ac:dyDescent="0.2">
      <c r="A24" s="15" t="s">
        <v>142</v>
      </c>
      <c r="B24" s="3"/>
      <c r="C24" s="32"/>
      <c r="D24" s="32"/>
      <c r="E24" s="32"/>
      <c r="F24" s="32"/>
      <c r="G24" s="32"/>
      <c r="H24" s="32"/>
      <c r="I24" s="32"/>
      <c r="J24" s="32"/>
      <c r="K24" s="32"/>
      <c r="L24" s="32"/>
      <c r="M24" s="32"/>
      <c r="N24" s="32"/>
      <c r="O24" s="3"/>
      <c r="P24" s="3"/>
      <c r="Q24" s="3"/>
      <c r="R24" s="3"/>
      <c r="S24" s="3"/>
      <c r="T24" s="3"/>
      <c r="U24" s="3"/>
      <c r="V24" s="3"/>
      <c r="W24" s="3"/>
      <c r="X24" s="3"/>
      <c r="Y24" s="3"/>
      <c r="Z24" s="3"/>
      <c r="AA24" s="3"/>
      <c r="AB24" s="3"/>
      <c r="AC24" s="3"/>
      <c r="AD24" s="3"/>
      <c r="AE24" s="3"/>
      <c r="AF24" s="3"/>
      <c r="AG24" s="3"/>
      <c r="AH24" s="3"/>
      <c r="AI24" s="3"/>
      <c r="AJ24" s="3"/>
      <c r="AK24" s="3"/>
      <c r="AL24" s="3"/>
    </row>
    <row r="25" spans="1:38" ht="15.75" customHeight="1" x14ac:dyDescent="0.2">
      <c r="A25" s="38" t="str">
        <f>(A1&amp;" – "&amp;A2)</f>
        <v>Indicator 4a – Indicator 4b</v>
      </c>
      <c r="B25" s="3"/>
      <c r="C25" s="82" t="s">
        <v>143</v>
      </c>
      <c r="D25" s="83"/>
      <c r="E25" s="83"/>
      <c r="F25" s="83"/>
      <c r="G25" s="83"/>
      <c r="H25" s="83"/>
      <c r="I25" s="83"/>
      <c r="J25" s="83"/>
      <c r="K25" s="83"/>
      <c r="L25" s="83"/>
      <c r="M25" s="83"/>
      <c r="N25" s="83"/>
      <c r="O25" s="3"/>
      <c r="P25" s="3"/>
      <c r="Q25" s="3"/>
      <c r="R25" s="3"/>
      <c r="S25" s="3"/>
      <c r="T25" s="3"/>
      <c r="U25" s="3"/>
      <c r="V25" s="3"/>
      <c r="W25" s="3"/>
      <c r="X25" s="3"/>
      <c r="Y25" s="3"/>
      <c r="Z25" s="3"/>
      <c r="AA25" s="3"/>
      <c r="AB25" s="3"/>
      <c r="AC25" s="3"/>
      <c r="AD25" s="3"/>
      <c r="AE25" s="3"/>
      <c r="AF25" s="3"/>
      <c r="AG25" s="3"/>
      <c r="AH25" s="3"/>
      <c r="AI25" s="3"/>
      <c r="AJ25" s="3"/>
      <c r="AK25" s="3"/>
      <c r="AL25" s="3"/>
    </row>
    <row r="26" spans="1:38" ht="15.75" customHeight="1" x14ac:dyDescent="0.2">
      <c r="A26" s="3"/>
      <c r="B26" s="3"/>
      <c r="C26" s="32"/>
      <c r="D26" s="32"/>
      <c r="E26" s="32"/>
      <c r="F26" s="32"/>
      <c r="G26" s="32"/>
      <c r="H26" s="32"/>
      <c r="I26" s="32"/>
      <c r="J26" s="32"/>
      <c r="K26" s="32"/>
      <c r="L26" s="32"/>
      <c r="M26" s="32"/>
      <c r="N26" s="32"/>
      <c r="O26" s="3"/>
      <c r="P26" s="3"/>
      <c r="Q26" s="3"/>
      <c r="R26" s="3"/>
      <c r="S26" s="3"/>
      <c r="T26" s="3"/>
      <c r="U26" s="3"/>
      <c r="V26" s="3"/>
      <c r="W26" s="3"/>
      <c r="X26" s="3"/>
      <c r="Y26" s="3"/>
      <c r="Z26" s="3"/>
      <c r="AA26" s="3"/>
      <c r="AB26" s="3"/>
      <c r="AC26" s="3"/>
      <c r="AD26" s="3"/>
      <c r="AE26" s="3"/>
      <c r="AF26" s="3"/>
      <c r="AG26" s="3"/>
      <c r="AH26" s="3"/>
      <c r="AI26" s="3"/>
      <c r="AJ26" s="3"/>
      <c r="AK26" s="3"/>
      <c r="AL26" s="3"/>
    </row>
    <row r="27" spans="1:38" ht="15.75" customHeight="1" x14ac:dyDescent="0.2">
      <c r="A27" s="15" t="s">
        <v>144</v>
      </c>
      <c r="B27" s="3"/>
      <c r="C27" s="32"/>
      <c r="D27" s="32"/>
      <c r="E27" s="32"/>
      <c r="F27" s="32"/>
      <c r="G27" s="32"/>
      <c r="H27" s="32"/>
      <c r="I27" s="32"/>
      <c r="J27" s="32"/>
      <c r="K27" s="32"/>
      <c r="L27" s="32"/>
      <c r="M27" s="32"/>
      <c r="N27" s="32"/>
      <c r="O27" s="3"/>
      <c r="P27" s="3"/>
      <c r="Q27" s="3"/>
      <c r="R27" s="3"/>
      <c r="S27" s="3"/>
      <c r="T27" s="3"/>
      <c r="U27" s="3"/>
      <c r="V27" s="3"/>
      <c r="W27" s="3"/>
      <c r="X27" s="3"/>
      <c r="Y27" s="3"/>
      <c r="Z27" s="3"/>
      <c r="AA27" s="3"/>
      <c r="AB27" s="3"/>
      <c r="AC27" s="3"/>
      <c r="AD27" s="3"/>
      <c r="AE27" s="3"/>
      <c r="AF27" s="3"/>
      <c r="AG27" s="3"/>
      <c r="AH27" s="3"/>
      <c r="AI27" s="3"/>
      <c r="AJ27" s="3"/>
      <c r="AK27" s="3"/>
      <c r="AL27" s="3"/>
    </row>
    <row r="28" spans="1:38" ht="48" customHeight="1" x14ac:dyDescent="0.2">
      <c r="A28" s="31" t="str">
        <f t="shared" ref="A28:A29" si="2">(A1)</f>
        <v>Indicator 4a</v>
      </c>
      <c r="B28" s="3"/>
      <c r="C28" s="82" t="s">
        <v>158</v>
      </c>
      <c r="D28" s="83"/>
      <c r="E28" s="83"/>
      <c r="F28" s="83"/>
      <c r="G28" s="83"/>
      <c r="H28" s="83"/>
      <c r="I28" s="83"/>
      <c r="J28" s="83"/>
      <c r="K28" s="83"/>
      <c r="L28" s="83"/>
      <c r="M28" s="83"/>
      <c r="N28" s="83"/>
      <c r="O28" s="36"/>
      <c r="P28" s="36"/>
      <c r="Q28" s="36"/>
      <c r="R28" s="36"/>
      <c r="S28" s="36"/>
      <c r="T28" s="36"/>
      <c r="U28" s="36"/>
      <c r="V28" s="36"/>
      <c r="W28" s="36"/>
      <c r="X28" s="36"/>
      <c r="Y28" s="36"/>
      <c r="Z28" s="36"/>
      <c r="AA28" s="36"/>
      <c r="AB28" s="36"/>
      <c r="AC28" s="36"/>
      <c r="AD28" s="36"/>
      <c r="AE28" s="36"/>
      <c r="AF28" s="36"/>
      <c r="AG28" s="36"/>
      <c r="AH28" s="36"/>
      <c r="AI28" s="36"/>
      <c r="AJ28" s="36"/>
      <c r="AK28" s="36"/>
      <c r="AL28" s="36"/>
    </row>
    <row r="29" spans="1:38" ht="48" customHeight="1" x14ac:dyDescent="0.2">
      <c r="A29" s="41" t="str">
        <f t="shared" si="2"/>
        <v>Indicator 4b</v>
      </c>
      <c r="B29" s="3"/>
      <c r="C29" s="82" t="s">
        <v>159</v>
      </c>
      <c r="D29" s="83"/>
      <c r="E29" s="83"/>
      <c r="F29" s="83"/>
      <c r="G29" s="83"/>
      <c r="H29" s="83"/>
      <c r="I29" s="83"/>
      <c r="J29" s="83"/>
      <c r="K29" s="83"/>
      <c r="L29" s="83"/>
      <c r="M29" s="83"/>
      <c r="N29" s="83"/>
      <c r="O29" s="3"/>
      <c r="P29" s="3"/>
      <c r="Q29" s="3"/>
      <c r="R29" s="3"/>
      <c r="S29" s="3"/>
      <c r="T29" s="3"/>
      <c r="U29" s="3"/>
      <c r="V29" s="3"/>
      <c r="W29" s="3"/>
      <c r="X29" s="3"/>
      <c r="Y29" s="3"/>
      <c r="Z29" s="3"/>
      <c r="AA29" s="3"/>
      <c r="AB29" s="3"/>
      <c r="AC29" s="3"/>
      <c r="AD29" s="3"/>
      <c r="AE29" s="3"/>
      <c r="AF29" s="3"/>
      <c r="AG29" s="3"/>
      <c r="AH29" s="3"/>
      <c r="AI29" s="3"/>
      <c r="AJ29" s="3"/>
      <c r="AK29" s="3"/>
      <c r="AL29" s="3"/>
    </row>
    <row r="30" spans="1:38" ht="15" customHeight="1" x14ac:dyDescent="0.2">
      <c r="A30" s="3"/>
      <c r="B30" s="3"/>
      <c r="C30" s="32"/>
      <c r="D30" s="32"/>
      <c r="E30" s="32"/>
      <c r="F30" s="32"/>
      <c r="G30" s="32"/>
      <c r="H30" s="32"/>
      <c r="I30" s="32"/>
      <c r="J30" s="32"/>
      <c r="K30" s="32"/>
      <c r="L30" s="32"/>
      <c r="M30" s="32"/>
      <c r="N30" s="32"/>
      <c r="O30" s="3"/>
      <c r="P30" s="3"/>
      <c r="Q30" s="3"/>
      <c r="R30" s="3"/>
      <c r="S30" s="3"/>
      <c r="T30" s="3"/>
      <c r="U30" s="3"/>
      <c r="V30" s="3"/>
      <c r="W30" s="3"/>
      <c r="X30" s="3"/>
      <c r="Y30" s="3"/>
      <c r="Z30" s="3"/>
      <c r="AA30" s="3"/>
      <c r="AB30" s="3"/>
      <c r="AC30" s="3"/>
      <c r="AD30" s="3"/>
      <c r="AE30" s="3"/>
      <c r="AF30" s="3"/>
      <c r="AG30" s="3"/>
      <c r="AH30" s="3"/>
      <c r="AI30" s="3"/>
      <c r="AJ30" s="3"/>
      <c r="AK30" s="3"/>
      <c r="AL30" s="3"/>
    </row>
    <row r="31" spans="1:38" ht="15.75" customHeight="1" x14ac:dyDescent="0.2">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row>
    <row r="32" spans="1:38" ht="15.75" customHeight="1" x14ac:dyDescent="0.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row>
    <row r="33" spans="1:38" ht="15.75" customHeight="1" x14ac:dyDescent="0.2">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row>
    <row r="34" spans="1:38" ht="15.75" customHeight="1"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row>
    <row r="35" spans="1:38" ht="15.75" customHeight="1" x14ac:dyDescent="0.2">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row>
    <row r="36" spans="1:38" ht="15.75" customHeight="1" x14ac:dyDescent="0.2">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row>
    <row r="37" spans="1:38" ht="15.75" customHeight="1"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row>
    <row r="38" spans="1:38" ht="15.75" customHeight="1" x14ac:dyDescent="0.2">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row>
    <row r="39" spans="1:38" ht="15.75" customHeight="1"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row>
    <row r="40" spans="1:38" ht="15.75" customHeight="1" x14ac:dyDescent="0.2">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row>
    <row r="41" spans="1:38" ht="15.75" customHeight="1" x14ac:dyDescent="0.2">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row>
    <row r="42" spans="1:38" ht="15.75" customHeight="1" x14ac:dyDescent="0.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row>
    <row r="43" spans="1:38" ht="15.7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row>
    <row r="44" spans="1:38" ht="15.7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row>
    <row r="45" spans="1:38" ht="15.7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row>
    <row r="46" spans="1:38"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row>
    <row r="47" spans="1:38"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row>
    <row r="48" spans="1:38"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row>
    <row r="49" spans="1:38"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row>
    <row r="50" spans="1:38"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row>
    <row r="51" spans="1:38"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row>
    <row r="52" spans="1:38"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row>
    <row r="53" spans="1:38"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row>
    <row r="54" spans="1:38"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row>
    <row r="55" spans="1:38"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row>
    <row r="56" spans="1:38"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row>
    <row r="57" spans="1:38"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row>
    <row r="58" spans="1:38"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row>
    <row r="59" spans="1:38"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row>
    <row r="60" spans="1:38"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row>
    <row r="61" spans="1:38"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row>
    <row r="62" spans="1:38"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row>
    <row r="63" spans="1:38"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row>
    <row r="64" spans="1:38"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row>
    <row r="65" spans="1:38"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row>
    <row r="66" spans="1:38"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row>
    <row r="67" spans="1:38"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row>
    <row r="68" spans="1:38"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row>
    <row r="69" spans="1:38"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row>
    <row r="70" spans="1:38"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row>
    <row r="71" spans="1:38" ht="15.7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row>
    <row r="72" spans="1:38" ht="15.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row>
    <row r="73" spans="1:38"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row>
    <row r="74" spans="1:38"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row>
    <row r="75" spans="1:38"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row>
    <row r="76" spans="1:38"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row>
    <row r="77" spans="1:38"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row>
    <row r="78" spans="1:38"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row>
    <row r="79" spans="1:38"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row>
    <row r="80" spans="1:38"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row>
    <row r="81" spans="1:38"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row>
    <row r="82" spans="1:38"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row>
    <row r="83" spans="1:38"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row>
    <row r="84" spans="1:38"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row>
    <row r="85" spans="1:38"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row>
    <row r="86" spans="1:38"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row>
    <row r="87" spans="1:38"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row>
    <row r="88" spans="1:38"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row>
    <row r="89" spans="1:38"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row>
    <row r="90" spans="1:38"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row>
    <row r="91" spans="1:38"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row>
    <row r="92" spans="1:38"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row>
    <row r="93" spans="1:38"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row>
    <row r="94" spans="1:38"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row>
    <row r="95" spans="1:38"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row>
    <row r="96" spans="1:38"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row>
    <row r="97" spans="1:38"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row>
    <row r="98" spans="1:38"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row>
    <row r="99" spans="1:38"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row>
    <row r="100" spans="1:38"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row>
    <row r="101" spans="1:38"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row>
    <row r="102" spans="1:38"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row>
    <row r="103" spans="1:38"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row>
    <row r="104" spans="1:38"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row>
    <row r="105" spans="1:38"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row>
    <row r="106" spans="1:38"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row>
    <row r="107" spans="1:38"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row>
    <row r="108" spans="1:38"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row>
    <row r="109" spans="1:38"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row>
    <row r="110" spans="1:38"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row>
    <row r="111" spans="1:38"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row>
    <row r="112" spans="1:38"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row>
    <row r="113" spans="1:38"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row>
    <row r="114" spans="1:38"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row>
    <row r="115" spans="1:38"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row>
    <row r="116" spans="1:38"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row>
    <row r="117" spans="1:38"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row>
    <row r="118" spans="1:38"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row>
    <row r="119" spans="1:38"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row>
    <row r="120" spans="1:38"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row>
    <row r="121" spans="1:38"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row>
    <row r="122" spans="1:38"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row>
    <row r="123" spans="1:38"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row>
    <row r="124" spans="1:38"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row>
    <row r="125" spans="1:38"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row>
    <row r="126" spans="1:38"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row>
    <row r="127" spans="1:38"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row>
    <row r="128" spans="1:38"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row>
    <row r="129" spans="1:38"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row>
    <row r="130" spans="1:38"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row>
    <row r="131" spans="1:38"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row>
    <row r="132" spans="1:38"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row>
    <row r="133" spans="1:38"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row>
    <row r="134" spans="1:38"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row>
    <row r="135" spans="1:38"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row>
    <row r="136" spans="1:38"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row>
    <row r="137" spans="1:38"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row>
    <row r="138" spans="1:38"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row>
    <row r="139" spans="1:38"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row>
    <row r="140" spans="1:38"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row>
    <row r="141" spans="1:38"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row>
    <row r="142" spans="1:38"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row>
    <row r="143" spans="1:38"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row>
    <row r="144" spans="1:38"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row>
    <row r="145" spans="1:38"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row>
    <row r="146" spans="1:38"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row>
    <row r="147" spans="1:38"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row>
    <row r="148" spans="1:38"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row>
    <row r="149" spans="1:38"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row>
    <row r="150" spans="1:38"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row>
    <row r="151" spans="1:38"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row>
    <row r="152" spans="1:38"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row>
    <row r="153" spans="1:38"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row>
    <row r="154" spans="1:38"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row>
    <row r="155" spans="1:38"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row>
    <row r="156" spans="1:38"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row>
    <row r="157" spans="1:38"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row>
    <row r="158" spans="1:38"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row>
    <row r="159" spans="1:38"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row>
    <row r="160" spans="1:38"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row>
    <row r="161" spans="1:38"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row>
    <row r="162" spans="1:38"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row>
    <row r="163" spans="1:38"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row>
    <row r="164" spans="1:38"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row>
    <row r="165" spans="1:38"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row>
    <row r="166" spans="1:38"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row>
    <row r="167" spans="1:38"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row>
    <row r="168" spans="1:38"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row>
    <row r="169" spans="1:38"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row>
    <row r="170" spans="1:38"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row>
    <row r="171" spans="1:38"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row>
    <row r="172" spans="1:38"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row>
    <row r="173" spans="1:38"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row>
    <row r="174" spans="1:38"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row>
    <row r="175" spans="1:38"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row>
    <row r="176" spans="1:38"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row>
    <row r="177" spans="1:38"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row>
    <row r="178" spans="1:38"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row>
    <row r="179" spans="1:38"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row>
    <row r="180" spans="1:38"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row>
    <row r="181" spans="1:38"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row>
    <row r="182" spans="1:38"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row>
    <row r="183" spans="1:38"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row>
    <row r="184" spans="1:38"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row>
    <row r="185" spans="1:38"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row>
    <row r="186" spans="1:38"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row>
    <row r="187" spans="1:38"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row>
    <row r="188" spans="1:38"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row>
    <row r="189" spans="1:38"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row>
    <row r="190" spans="1:38"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row>
    <row r="191" spans="1:38"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row>
    <row r="192" spans="1:38"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row>
    <row r="193" spans="1:38"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row>
    <row r="194" spans="1:38"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row>
    <row r="195" spans="1:38"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row>
    <row r="196" spans="1:38"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row>
    <row r="197" spans="1:38"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row>
    <row r="198" spans="1:38"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row>
    <row r="199" spans="1:38"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row>
    <row r="200" spans="1:38"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row>
    <row r="201" spans="1:38"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row>
    <row r="202" spans="1:38"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row>
    <row r="203" spans="1:38"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row>
    <row r="204" spans="1:38"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row>
    <row r="205" spans="1:38"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row>
    <row r="206" spans="1:38"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row>
    <row r="207" spans="1:38"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row>
    <row r="208" spans="1:38"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row>
    <row r="209" spans="1:38"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row>
    <row r="210" spans="1:38"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row>
    <row r="211" spans="1:38"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row>
    <row r="212" spans="1:38"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row>
    <row r="213" spans="1:38"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row>
    <row r="214" spans="1:38"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row>
    <row r="215" spans="1:38"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row>
    <row r="216" spans="1:38"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row>
    <row r="217" spans="1:38"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row>
    <row r="218" spans="1:38"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row>
    <row r="219" spans="1:38"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row>
    <row r="220" spans="1:38"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row>
    <row r="221" spans="1:38"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row>
    <row r="222" spans="1:38"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row>
    <row r="223" spans="1:38"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row>
    <row r="224" spans="1:38"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row>
    <row r="225" spans="1:38"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row>
    <row r="226" spans="1:38"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row>
    <row r="227" spans="1:38"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row>
    <row r="228" spans="1:38"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row>
    <row r="229" spans="1:38"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row>
    <row r="230" spans="1:38" ht="15.75" customHeight="1" x14ac:dyDescent="0.2"/>
    <row r="231" spans="1:38" ht="15.75" customHeight="1" x14ac:dyDescent="0.2"/>
    <row r="232" spans="1:38" ht="15.75" customHeight="1" x14ac:dyDescent="0.2"/>
    <row r="233" spans="1:38" ht="15.75" customHeight="1" x14ac:dyDescent="0.2"/>
    <row r="234" spans="1:38" ht="15.75" customHeight="1" x14ac:dyDescent="0.2"/>
    <row r="235" spans="1:38" ht="15.75" customHeight="1" x14ac:dyDescent="0.2"/>
    <row r="236" spans="1:38" ht="15.75" customHeight="1" x14ac:dyDescent="0.2"/>
    <row r="237" spans="1:38" ht="15.75" customHeight="1" x14ac:dyDescent="0.2"/>
    <row r="238" spans="1:38" ht="15.75" customHeight="1" x14ac:dyDescent="0.2"/>
    <row r="239" spans="1:38" ht="15.75" customHeight="1" x14ac:dyDescent="0.2"/>
    <row r="240" spans="1:38"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mergeCells count="6">
    <mergeCell ref="C29:N29"/>
    <mergeCell ref="C12:T12"/>
    <mergeCell ref="C19:N19"/>
    <mergeCell ref="C22:N22"/>
    <mergeCell ref="C25:N25"/>
    <mergeCell ref="C28:N28"/>
  </mergeCells>
  <pageMargins left="0.7" right="0.7" top="0.75" bottom="0.75"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sheetPr>
  <dimension ref="A1:AL994"/>
  <sheetViews>
    <sheetView showGridLines="0" zoomScale="120" zoomScaleNormal="120" workbookViewId="0">
      <selection activeCell="C14" sqref="C14:J15"/>
    </sheetView>
  </sheetViews>
  <sheetFormatPr baseColWidth="10" defaultColWidth="14.5" defaultRowHeight="15" customHeight="1" x14ac:dyDescent="0.2"/>
  <cols>
    <col min="1" max="1" width="51.6640625" customWidth="1"/>
    <col min="2" max="2" width="1.33203125" customWidth="1"/>
    <col min="3" max="34" width="9.1640625" customWidth="1"/>
    <col min="35" max="35" width="10.6640625" bestFit="1" customWidth="1"/>
    <col min="36" max="36" width="11" bestFit="1" customWidth="1"/>
    <col min="37" max="37" width="10.6640625" bestFit="1" customWidth="1"/>
    <col min="38" max="38" width="11" bestFit="1" customWidth="1"/>
  </cols>
  <sheetData>
    <row r="1" spans="1:38" ht="31.5" customHeight="1" x14ac:dyDescent="0.2">
      <c r="A1" s="10" t="s">
        <v>160</v>
      </c>
      <c r="B1" s="10"/>
      <c r="C1" s="11" t="s">
        <v>446</v>
      </c>
      <c r="D1" s="10"/>
      <c r="E1" s="10"/>
      <c r="F1" s="10"/>
      <c r="G1" s="10"/>
      <c r="H1" s="10"/>
      <c r="I1" s="10"/>
      <c r="J1" s="10"/>
      <c r="K1" s="10"/>
      <c r="L1" s="10"/>
      <c r="M1" s="10"/>
      <c r="N1" s="10"/>
      <c r="O1" s="10"/>
      <c r="P1" s="10"/>
      <c r="Q1" s="10"/>
      <c r="R1" s="10"/>
      <c r="S1" s="10"/>
      <c r="T1" s="10"/>
      <c r="U1" s="3"/>
      <c r="V1" s="3"/>
      <c r="W1" s="3"/>
      <c r="X1" s="3"/>
      <c r="Y1" s="3"/>
      <c r="Z1" s="3"/>
      <c r="AA1" s="3"/>
      <c r="AB1" s="3"/>
      <c r="AC1" s="3"/>
      <c r="AD1" s="3"/>
      <c r="AE1" s="3"/>
      <c r="AF1" s="3"/>
      <c r="AG1" s="3"/>
      <c r="AH1" s="3"/>
      <c r="AI1" s="3"/>
      <c r="AJ1" s="3"/>
      <c r="AK1" s="3"/>
      <c r="AL1" s="3"/>
    </row>
    <row r="2" spans="1:38" ht="31.5" customHeight="1" x14ac:dyDescent="0.2">
      <c r="A2" s="10" t="s">
        <v>40</v>
      </c>
      <c r="B2" s="10"/>
      <c r="C2" s="11" t="s">
        <v>447</v>
      </c>
      <c r="D2" s="10"/>
      <c r="E2" s="10"/>
      <c r="F2" s="10"/>
      <c r="G2" s="10"/>
      <c r="H2" s="10"/>
      <c r="I2" s="10"/>
      <c r="J2" s="10"/>
      <c r="K2" s="10"/>
      <c r="L2" s="10"/>
      <c r="M2" s="10"/>
      <c r="N2" s="10"/>
      <c r="O2" s="10"/>
      <c r="P2" s="10"/>
      <c r="Q2" s="10"/>
      <c r="R2" s="10"/>
      <c r="S2" s="10"/>
      <c r="T2" s="10"/>
      <c r="U2" s="3"/>
      <c r="V2" s="3"/>
      <c r="W2" s="3"/>
      <c r="X2" s="3"/>
      <c r="Y2" s="3"/>
      <c r="Z2" s="3"/>
      <c r="AA2" s="3"/>
      <c r="AB2" s="3"/>
      <c r="AC2" s="3"/>
      <c r="AD2" s="3"/>
      <c r="AE2" s="3"/>
      <c r="AF2" s="3"/>
      <c r="AG2" s="3"/>
      <c r="AH2" s="3"/>
      <c r="AI2" s="3"/>
      <c r="AJ2" s="3"/>
      <c r="AK2" s="3"/>
      <c r="AL2" s="3"/>
    </row>
    <row r="3" spans="1:38" ht="31.5" customHeight="1" x14ac:dyDescent="0.2">
      <c r="A3" s="10" t="s">
        <v>42</v>
      </c>
      <c r="B3" s="10"/>
      <c r="C3" s="11" t="s">
        <v>43</v>
      </c>
      <c r="D3" s="10"/>
      <c r="E3" s="10"/>
      <c r="F3" s="10"/>
      <c r="G3" s="10"/>
      <c r="H3" s="10"/>
      <c r="I3" s="10"/>
      <c r="J3" s="10"/>
      <c r="K3" s="10"/>
      <c r="L3" s="10"/>
      <c r="M3" s="10"/>
      <c r="N3" s="10"/>
      <c r="O3" s="10"/>
      <c r="P3" s="10"/>
      <c r="Q3" s="10"/>
      <c r="R3" s="10"/>
      <c r="S3" s="10"/>
      <c r="T3" s="10"/>
      <c r="U3" s="3"/>
      <c r="V3" s="3"/>
      <c r="W3" s="3"/>
      <c r="X3" s="3"/>
      <c r="Y3" s="3"/>
      <c r="Z3" s="3"/>
      <c r="AA3" s="3"/>
      <c r="AB3" s="3"/>
      <c r="AC3" s="3"/>
      <c r="AD3" s="3"/>
      <c r="AE3" s="3"/>
      <c r="AF3" s="3"/>
      <c r="AG3" s="3"/>
      <c r="AH3" s="3"/>
      <c r="AI3" s="3"/>
      <c r="AJ3" s="3"/>
      <c r="AK3" s="3"/>
      <c r="AL3" s="3"/>
    </row>
    <row r="4" spans="1:38" ht="31.5" customHeight="1" x14ac:dyDescent="0.2">
      <c r="A4" s="10" t="s">
        <v>45</v>
      </c>
      <c r="B4" s="10"/>
      <c r="C4" s="11" t="s">
        <v>46</v>
      </c>
      <c r="D4" s="10"/>
      <c r="E4" s="10"/>
      <c r="F4" s="10"/>
      <c r="G4" s="10"/>
      <c r="H4" s="10"/>
      <c r="I4" s="10"/>
      <c r="J4" s="10"/>
      <c r="K4" s="10"/>
      <c r="L4" s="10"/>
      <c r="M4" s="10"/>
      <c r="N4" s="10"/>
      <c r="O4" s="10"/>
      <c r="P4" s="10"/>
      <c r="Q4" s="10"/>
      <c r="R4" s="10"/>
      <c r="S4" s="10"/>
      <c r="T4" s="10"/>
      <c r="U4" s="3"/>
      <c r="V4" s="3"/>
      <c r="W4" s="3"/>
      <c r="X4" s="3"/>
      <c r="Y4" s="3"/>
      <c r="Z4" s="3"/>
      <c r="AA4" s="3"/>
      <c r="AB4" s="3"/>
      <c r="AC4" s="3"/>
      <c r="AD4" s="3"/>
      <c r="AE4" s="3"/>
      <c r="AF4" s="3"/>
      <c r="AG4" s="3"/>
      <c r="AH4" s="3"/>
      <c r="AI4" s="3"/>
      <c r="AJ4" s="3"/>
      <c r="AK4" s="3"/>
      <c r="AL4" s="3"/>
    </row>
    <row r="5" spans="1:38" ht="31.5" customHeight="1" x14ac:dyDescent="0.25">
      <c r="A5" s="12"/>
      <c r="B5" s="3"/>
      <c r="C5" s="13"/>
      <c r="D5" s="14"/>
      <c r="E5" s="14"/>
      <c r="F5" s="14"/>
      <c r="G5" s="14"/>
      <c r="H5" s="14"/>
      <c r="I5" s="14"/>
      <c r="J5" s="14"/>
      <c r="K5" s="14"/>
      <c r="L5" s="14"/>
      <c r="M5" s="14"/>
      <c r="N5" s="14"/>
      <c r="O5" s="3"/>
      <c r="P5" s="3"/>
      <c r="Q5" s="3"/>
      <c r="R5" s="3"/>
      <c r="S5" s="3"/>
      <c r="T5" s="3"/>
      <c r="U5" s="3"/>
      <c r="V5" s="3"/>
      <c r="W5" s="3"/>
      <c r="X5" s="3"/>
      <c r="Y5" s="3"/>
      <c r="Z5" s="3"/>
      <c r="AA5" s="3"/>
      <c r="AB5" s="3"/>
      <c r="AC5" s="3"/>
      <c r="AD5" s="3"/>
      <c r="AE5" s="3"/>
      <c r="AF5" s="3"/>
      <c r="AG5" s="3"/>
      <c r="AH5" s="3"/>
      <c r="AI5" s="3"/>
      <c r="AJ5" s="3"/>
      <c r="AK5" s="3"/>
      <c r="AL5" s="3"/>
    </row>
    <row r="6" spans="1:38" ht="19" x14ac:dyDescent="0.25">
      <c r="A6" s="15" t="s">
        <v>61</v>
      </c>
      <c r="B6" s="3"/>
      <c r="C6" s="13"/>
      <c r="D6" s="14"/>
      <c r="E6" s="14"/>
      <c r="F6" s="14"/>
      <c r="G6" s="14"/>
      <c r="H6" s="14"/>
      <c r="I6" s="14"/>
      <c r="J6" s="14"/>
      <c r="K6" s="14"/>
      <c r="L6" s="14"/>
      <c r="M6" s="14"/>
      <c r="N6" s="14"/>
      <c r="O6" s="3"/>
      <c r="P6" s="3"/>
      <c r="Q6" s="3"/>
      <c r="R6" s="3"/>
      <c r="S6" s="3"/>
      <c r="T6" s="3"/>
      <c r="U6" s="3"/>
      <c r="V6" s="3"/>
      <c r="W6" s="3"/>
      <c r="X6" s="3"/>
      <c r="Y6" s="3"/>
      <c r="Z6" s="3"/>
      <c r="AA6" s="3"/>
      <c r="AB6" s="3"/>
      <c r="AC6" s="3"/>
      <c r="AD6" s="3"/>
      <c r="AE6" s="3"/>
      <c r="AF6" s="3"/>
      <c r="AG6" s="3"/>
      <c r="AH6" s="3"/>
      <c r="AI6" s="3"/>
      <c r="AJ6" s="3"/>
      <c r="AK6" s="3"/>
      <c r="AL6" s="3"/>
    </row>
    <row r="7" spans="1:38" ht="16" x14ac:dyDescent="0.2">
      <c r="A7" s="16" t="str">
        <f>(A1&amp;" - "&amp;A2)</f>
        <v>Indicator 5a - Indicator 5b</v>
      </c>
      <c r="B7" s="3"/>
      <c r="C7" s="17" t="s">
        <v>62</v>
      </c>
      <c r="D7" s="17" t="s">
        <v>63</v>
      </c>
      <c r="E7" s="17" t="s">
        <v>64</v>
      </c>
      <c r="F7" s="17" t="s">
        <v>65</v>
      </c>
      <c r="G7" s="17" t="s">
        <v>62</v>
      </c>
      <c r="H7" s="17" t="s">
        <v>63</v>
      </c>
      <c r="I7" s="17" t="s">
        <v>64</v>
      </c>
      <c r="J7" s="17" t="s">
        <v>65</v>
      </c>
      <c r="K7" s="17" t="s">
        <v>62</v>
      </c>
      <c r="L7" s="17" t="s">
        <v>63</v>
      </c>
      <c r="M7" s="17" t="s">
        <v>64</v>
      </c>
      <c r="N7" s="17" t="s">
        <v>65</v>
      </c>
      <c r="O7" s="17" t="s">
        <v>62</v>
      </c>
      <c r="P7" s="17" t="s">
        <v>63</v>
      </c>
      <c r="Q7" s="17" t="s">
        <v>64</v>
      </c>
      <c r="R7" s="17" t="s">
        <v>65</v>
      </c>
      <c r="S7" s="17" t="s">
        <v>62</v>
      </c>
      <c r="T7" s="17" t="s">
        <v>63</v>
      </c>
      <c r="U7" s="17" t="s">
        <v>64</v>
      </c>
      <c r="V7" s="17" t="s">
        <v>65</v>
      </c>
      <c r="W7" s="17" t="s">
        <v>62</v>
      </c>
      <c r="X7" s="17" t="s">
        <v>63</v>
      </c>
      <c r="Y7" s="17" t="s">
        <v>64</v>
      </c>
      <c r="Z7" s="17" t="s">
        <v>65</v>
      </c>
      <c r="AA7" s="17" t="s">
        <v>62</v>
      </c>
      <c r="AB7" s="17" t="s">
        <v>63</v>
      </c>
      <c r="AC7" s="17" t="s">
        <v>64</v>
      </c>
      <c r="AD7" s="17" t="s">
        <v>65</v>
      </c>
      <c r="AE7" s="17" t="s">
        <v>62</v>
      </c>
      <c r="AF7" s="17" t="s">
        <v>63</v>
      </c>
      <c r="AG7" s="17" t="s">
        <v>64</v>
      </c>
      <c r="AH7" s="17" t="s">
        <v>65</v>
      </c>
      <c r="AI7" s="58" t="s">
        <v>62</v>
      </c>
      <c r="AJ7" s="17" t="s">
        <v>63</v>
      </c>
      <c r="AK7" s="17" t="s">
        <v>64</v>
      </c>
      <c r="AL7" s="17" t="s">
        <v>65</v>
      </c>
    </row>
    <row r="8" spans="1:38" ht="26" x14ac:dyDescent="0.2">
      <c r="A8" s="16"/>
      <c r="B8" s="3"/>
      <c r="C8" s="17" t="s">
        <v>385</v>
      </c>
      <c r="D8" s="17" t="s">
        <v>386</v>
      </c>
      <c r="E8" s="17" t="s">
        <v>387</v>
      </c>
      <c r="F8" s="17" t="s">
        <v>388</v>
      </c>
      <c r="G8" s="17" t="s">
        <v>66</v>
      </c>
      <c r="H8" s="17" t="s">
        <v>67</v>
      </c>
      <c r="I8" s="17" t="s">
        <v>68</v>
      </c>
      <c r="J8" s="17" t="s">
        <v>69</v>
      </c>
      <c r="K8" s="17" t="s">
        <v>70</v>
      </c>
      <c r="L8" s="17" t="s">
        <v>71</v>
      </c>
      <c r="M8" s="17" t="s">
        <v>72</v>
      </c>
      <c r="N8" s="17" t="s">
        <v>73</v>
      </c>
      <c r="O8" s="17" t="s">
        <v>74</v>
      </c>
      <c r="P8" s="17" t="s">
        <v>75</v>
      </c>
      <c r="Q8" s="17" t="s">
        <v>76</v>
      </c>
      <c r="R8" s="17" t="s">
        <v>77</v>
      </c>
      <c r="S8" s="58" t="s">
        <v>321</v>
      </c>
      <c r="T8" s="17" t="s">
        <v>322</v>
      </c>
      <c r="U8" s="17" t="s">
        <v>323</v>
      </c>
      <c r="V8" s="17" t="s">
        <v>324</v>
      </c>
      <c r="W8" s="58" t="s">
        <v>325</v>
      </c>
      <c r="X8" s="17" t="s">
        <v>326</v>
      </c>
      <c r="Y8" s="17" t="s">
        <v>327</v>
      </c>
      <c r="Z8" s="17" t="s">
        <v>328</v>
      </c>
      <c r="AA8" s="17" t="s">
        <v>329</v>
      </c>
      <c r="AB8" s="17" t="s">
        <v>330</v>
      </c>
      <c r="AC8" s="17" t="s">
        <v>331</v>
      </c>
      <c r="AD8" s="17" t="s">
        <v>332</v>
      </c>
      <c r="AE8" s="17" t="s">
        <v>333</v>
      </c>
      <c r="AF8" s="17" t="s">
        <v>334</v>
      </c>
      <c r="AG8" s="17" t="s">
        <v>335</v>
      </c>
      <c r="AH8" s="17" t="s">
        <v>336</v>
      </c>
      <c r="AI8" s="17" t="s">
        <v>337</v>
      </c>
      <c r="AJ8" s="17" t="s">
        <v>338</v>
      </c>
      <c r="AK8" s="17" t="s">
        <v>339</v>
      </c>
      <c r="AL8" s="17" t="s">
        <v>340</v>
      </c>
    </row>
    <row r="9" spans="1:38" ht="31.5" customHeight="1" x14ac:dyDescent="0.2">
      <c r="A9" s="18" t="s">
        <v>427</v>
      </c>
      <c r="B9" s="3"/>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row>
    <row r="10" spans="1:38" ht="32" x14ac:dyDescent="0.2">
      <c r="A10" s="18" t="s">
        <v>428</v>
      </c>
      <c r="B10" s="3"/>
      <c r="C10" s="64"/>
      <c r="D10" s="65"/>
      <c r="E10" s="65"/>
      <c r="F10" s="65"/>
      <c r="G10" s="65"/>
      <c r="H10" s="65"/>
      <c r="I10" s="65"/>
      <c r="J10" s="65"/>
      <c r="K10" s="65"/>
      <c r="L10" s="65"/>
      <c r="M10" s="65"/>
      <c r="N10" s="65"/>
      <c r="O10" s="65"/>
      <c r="P10" s="65"/>
      <c r="Q10" s="65"/>
      <c r="R10" s="65"/>
      <c r="S10" s="65"/>
      <c r="T10" s="65"/>
      <c r="U10" s="65"/>
      <c r="V10" s="65"/>
      <c r="W10" s="65"/>
      <c r="X10" s="65"/>
      <c r="Y10" s="65"/>
      <c r="Z10" s="65"/>
      <c r="AA10" s="65"/>
      <c r="AB10" s="65"/>
      <c r="AC10" s="65"/>
      <c r="AD10" s="65"/>
      <c r="AE10" s="65"/>
      <c r="AF10" s="65"/>
      <c r="AG10" s="65"/>
      <c r="AH10" s="65"/>
      <c r="AI10" s="65"/>
      <c r="AJ10" s="65"/>
      <c r="AK10" s="65"/>
      <c r="AL10" s="65"/>
    </row>
    <row r="11" spans="1:38" x14ac:dyDescent="0.2">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row>
    <row r="12" spans="1:38" ht="16" x14ac:dyDescent="0.2">
      <c r="A12" s="16" t="str">
        <f>(A3&amp;" - "&amp;A4)</f>
        <v>Indicator 6a - Indicator 6b</v>
      </c>
      <c r="B12" s="3"/>
      <c r="C12" s="17" t="s">
        <v>62</v>
      </c>
      <c r="D12" s="17" t="s">
        <v>63</v>
      </c>
      <c r="E12" s="17" t="s">
        <v>64</v>
      </c>
      <c r="F12" s="17" t="s">
        <v>65</v>
      </c>
      <c r="G12" s="17" t="s">
        <v>62</v>
      </c>
      <c r="H12" s="17" t="s">
        <v>63</v>
      </c>
      <c r="I12" s="17" t="s">
        <v>64</v>
      </c>
      <c r="J12" s="17" t="s">
        <v>65</v>
      </c>
      <c r="K12" s="17" t="s">
        <v>62</v>
      </c>
      <c r="L12" s="17" t="s">
        <v>63</v>
      </c>
      <c r="M12" s="17" t="s">
        <v>64</v>
      </c>
      <c r="N12" s="17" t="s">
        <v>65</v>
      </c>
      <c r="O12" s="17" t="s">
        <v>62</v>
      </c>
      <c r="P12" s="17" t="s">
        <v>63</v>
      </c>
      <c r="Q12" s="17" t="s">
        <v>64</v>
      </c>
      <c r="R12" s="17" t="s">
        <v>65</v>
      </c>
      <c r="S12" s="17" t="s">
        <v>62</v>
      </c>
      <c r="T12" s="17" t="s">
        <v>63</v>
      </c>
      <c r="U12" s="17" t="s">
        <v>64</v>
      </c>
      <c r="V12" s="17" t="s">
        <v>65</v>
      </c>
      <c r="W12" s="17" t="s">
        <v>62</v>
      </c>
      <c r="X12" s="17" t="s">
        <v>63</v>
      </c>
      <c r="Y12" s="17" t="s">
        <v>64</v>
      </c>
      <c r="Z12" s="17" t="s">
        <v>65</v>
      </c>
      <c r="AA12" s="17" t="s">
        <v>62</v>
      </c>
      <c r="AB12" s="17" t="s">
        <v>63</v>
      </c>
      <c r="AC12" s="17" t="s">
        <v>64</v>
      </c>
      <c r="AD12" s="17" t="s">
        <v>65</v>
      </c>
      <c r="AE12" s="17" t="s">
        <v>62</v>
      </c>
      <c r="AF12" s="17" t="s">
        <v>63</v>
      </c>
      <c r="AG12" s="17" t="s">
        <v>64</v>
      </c>
      <c r="AH12" s="17" t="s">
        <v>65</v>
      </c>
      <c r="AI12" s="58" t="s">
        <v>62</v>
      </c>
      <c r="AJ12" s="17" t="s">
        <v>63</v>
      </c>
      <c r="AK12" s="17" t="s">
        <v>64</v>
      </c>
      <c r="AL12" s="17" t="s">
        <v>65</v>
      </c>
    </row>
    <row r="13" spans="1:38" ht="26" x14ac:dyDescent="0.2">
      <c r="A13" s="16"/>
      <c r="B13" s="3"/>
      <c r="C13" s="17" t="s">
        <v>385</v>
      </c>
      <c r="D13" s="17" t="s">
        <v>386</v>
      </c>
      <c r="E13" s="17" t="s">
        <v>387</v>
      </c>
      <c r="F13" s="17" t="s">
        <v>388</v>
      </c>
      <c r="G13" s="17" t="s">
        <v>66</v>
      </c>
      <c r="H13" s="17" t="s">
        <v>67</v>
      </c>
      <c r="I13" s="17" t="s">
        <v>68</v>
      </c>
      <c r="J13" s="17" t="s">
        <v>69</v>
      </c>
      <c r="K13" s="17" t="s">
        <v>70</v>
      </c>
      <c r="L13" s="17" t="s">
        <v>71</v>
      </c>
      <c r="M13" s="17" t="s">
        <v>72</v>
      </c>
      <c r="N13" s="17" t="s">
        <v>73</v>
      </c>
      <c r="O13" s="17" t="s">
        <v>74</v>
      </c>
      <c r="P13" s="17" t="s">
        <v>75</v>
      </c>
      <c r="Q13" s="17" t="s">
        <v>76</v>
      </c>
      <c r="R13" s="17" t="s">
        <v>77</v>
      </c>
      <c r="S13" s="58" t="s">
        <v>321</v>
      </c>
      <c r="T13" s="17" t="s">
        <v>322</v>
      </c>
      <c r="U13" s="17" t="s">
        <v>323</v>
      </c>
      <c r="V13" s="17" t="s">
        <v>324</v>
      </c>
      <c r="W13" s="58" t="s">
        <v>325</v>
      </c>
      <c r="X13" s="17" t="s">
        <v>326</v>
      </c>
      <c r="Y13" s="17" t="s">
        <v>327</v>
      </c>
      <c r="Z13" s="17" t="s">
        <v>328</v>
      </c>
      <c r="AA13" s="17" t="s">
        <v>329</v>
      </c>
      <c r="AB13" s="17" t="s">
        <v>330</v>
      </c>
      <c r="AC13" s="17" t="s">
        <v>331</v>
      </c>
      <c r="AD13" s="17" t="s">
        <v>332</v>
      </c>
      <c r="AE13" s="17" t="s">
        <v>333</v>
      </c>
      <c r="AF13" s="17" t="s">
        <v>334</v>
      </c>
      <c r="AG13" s="17" t="s">
        <v>335</v>
      </c>
      <c r="AH13" s="17" t="s">
        <v>336</v>
      </c>
      <c r="AI13" s="17" t="s">
        <v>337</v>
      </c>
      <c r="AJ13" s="17" t="s">
        <v>338</v>
      </c>
      <c r="AK13" s="17" t="s">
        <v>339</v>
      </c>
      <c r="AL13" s="17" t="s">
        <v>340</v>
      </c>
    </row>
    <row r="14" spans="1:38" ht="32" x14ac:dyDescent="0.2">
      <c r="A14" s="18" t="s">
        <v>429</v>
      </c>
      <c r="B14" s="3"/>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row>
    <row r="15" spans="1:38" ht="32" x14ac:dyDescent="0.2">
      <c r="A15" s="18" t="s">
        <v>430</v>
      </c>
      <c r="B15" s="3"/>
      <c r="C15" s="65"/>
      <c r="D15" s="65"/>
      <c r="E15" s="65"/>
      <c r="F15" s="65"/>
      <c r="G15" s="65"/>
      <c r="H15" s="65"/>
      <c r="I15" s="65"/>
      <c r="J15" s="65"/>
      <c r="K15" s="65"/>
      <c r="L15" s="65"/>
      <c r="M15" s="65"/>
      <c r="N15" s="65"/>
      <c r="O15" s="65"/>
      <c r="P15" s="65"/>
      <c r="Q15" s="65"/>
      <c r="R15" s="65"/>
      <c r="S15" s="65"/>
      <c r="T15" s="65"/>
      <c r="U15" s="65"/>
      <c r="V15" s="65"/>
      <c r="W15" s="65"/>
      <c r="X15" s="65"/>
      <c r="Y15" s="65"/>
      <c r="Z15" s="65"/>
      <c r="AA15" s="65"/>
      <c r="AB15" s="65"/>
      <c r="AC15" s="65"/>
      <c r="AD15" s="65"/>
      <c r="AE15" s="65"/>
      <c r="AF15" s="65"/>
      <c r="AG15" s="65"/>
      <c r="AH15" s="65"/>
      <c r="AI15" s="65"/>
      <c r="AJ15" s="65"/>
      <c r="AK15" s="65"/>
      <c r="AL15" s="65"/>
    </row>
    <row r="16" spans="1:38" x14ac:dyDescent="0.2">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row>
    <row r="17" spans="1:38" ht="15.75" customHeight="1" x14ac:dyDescent="0.2">
      <c r="A17" s="15" t="s">
        <v>115</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row>
    <row r="18" spans="1:38" ht="111.75" customHeight="1" x14ac:dyDescent="0.2">
      <c r="A18" s="4" t="s">
        <v>116</v>
      </c>
      <c r="B18" s="3"/>
      <c r="C18" s="85"/>
      <c r="D18" s="86"/>
      <c r="E18" s="86"/>
      <c r="F18" s="86"/>
      <c r="G18" s="86"/>
      <c r="H18" s="86"/>
      <c r="I18" s="86"/>
      <c r="J18" s="86"/>
      <c r="K18" s="86"/>
      <c r="L18" s="86"/>
      <c r="M18" s="86"/>
      <c r="N18" s="86"/>
      <c r="O18" s="86"/>
      <c r="P18" s="86"/>
      <c r="Q18" s="86"/>
      <c r="R18" s="86"/>
      <c r="S18" s="86"/>
      <c r="T18" s="87"/>
      <c r="U18" s="3"/>
      <c r="V18" s="3"/>
      <c r="W18" s="3"/>
      <c r="X18" s="3"/>
      <c r="Y18" s="3"/>
      <c r="Z18" s="3"/>
      <c r="AA18" s="3"/>
      <c r="AB18" s="3"/>
      <c r="AC18" s="3"/>
      <c r="AD18" s="3"/>
      <c r="AE18" s="3"/>
      <c r="AF18" s="3"/>
      <c r="AG18" s="3"/>
      <c r="AH18" s="3"/>
      <c r="AI18" s="3"/>
      <c r="AJ18" s="3"/>
      <c r="AK18" s="3"/>
      <c r="AL18" s="3"/>
    </row>
    <row r="19" spans="1:38" ht="31.5" customHeight="1" x14ac:dyDescent="0.2">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row>
    <row r="20" spans="1:38" ht="31.5" customHeight="1" x14ac:dyDescent="0.2">
      <c r="A20" s="15" t="s">
        <v>320</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row>
    <row r="21" spans="1:38" ht="324" customHeight="1" x14ac:dyDescent="0.2">
      <c r="A21" s="3"/>
      <c r="B21" s="3"/>
      <c r="C21" s="3"/>
      <c r="D21" s="3"/>
      <c r="E21" s="3"/>
      <c r="F21" s="3"/>
      <c r="G21" s="3"/>
      <c r="H21" s="3"/>
      <c r="I21" s="3"/>
      <c r="J21" s="3"/>
      <c r="K21" s="3"/>
      <c r="L21" s="3"/>
      <c r="M21" s="3"/>
      <c r="N21" s="3"/>
      <c r="P21" s="3"/>
      <c r="Q21" s="3"/>
      <c r="R21" s="3"/>
      <c r="S21" s="3"/>
      <c r="T21" s="3"/>
      <c r="U21" s="3"/>
      <c r="V21" s="3"/>
      <c r="W21" s="3"/>
      <c r="X21" s="3"/>
      <c r="Y21" s="3"/>
      <c r="Z21" s="3"/>
      <c r="AA21" s="3"/>
      <c r="AB21" s="3"/>
      <c r="AC21" s="3"/>
      <c r="AD21" s="3"/>
      <c r="AE21" s="3"/>
      <c r="AF21" s="3"/>
      <c r="AG21" s="3"/>
      <c r="AH21" s="3"/>
      <c r="AI21" s="3"/>
      <c r="AJ21" s="3"/>
      <c r="AK21" s="3"/>
      <c r="AL21" s="3"/>
    </row>
    <row r="22" spans="1:38" ht="15.75" customHeight="1" x14ac:dyDescent="0.2">
      <c r="A22" s="15" t="s">
        <v>391</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row>
    <row r="23" spans="1:38" ht="15.75" customHeight="1" x14ac:dyDescent="0.2">
      <c r="A23" s="16" t="s">
        <v>380</v>
      </c>
      <c r="B23" s="3"/>
      <c r="C23" s="17" t="s">
        <v>62</v>
      </c>
      <c r="D23" s="17" t="s">
        <v>63</v>
      </c>
      <c r="E23" s="17" t="s">
        <v>64</v>
      </c>
      <c r="F23" s="17" t="s">
        <v>65</v>
      </c>
      <c r="G23" s="17" t="s">
        <v>62</v>
      </c>
      <c r="H23" s="17" t="s">
        <v>63</v>
      </c>
      <c r="I23" s="17" t="s">
        <v>64</v>
      </c>
      <c r="J23" s="17" t="s">
        <v>65</v>
      </c>
      <c r="K23" s="17" t="s">
        <v>62</v>
      </c>
      <c r="L23" s="17" t="s">
        <v>63</v>
      </c>
      <c r="M23" s="17" t="s">
        <v>64</v>
      </c>
      <c r="N23" s="17" t="s">
        <v>65</v>
      </c>
      <c r="O23" s="17" t="s">
        <v>62</v>
      </c>
      <c r="P23" s="17" t="s">
        <v>63</v>
      </c>
      <c r="Q23" s="17" t="s">
        <v>64</v>
      </c>
      <c r="R23" s="17" t="s">
        <v>65</v>
      </c>
      <c r="S23" s="17" t="s">
        <v>62</v>
      </c>
      <c r="T23" s="17" t="s">
        <v>63</v>
      </c>
      <c r="U23" s="17" t="s">
        <v>64</v>
      </c>
      <c r="V23" s="17" t="s">
        <v>65</v>
      </c>
      <c r="W23" s="17" t="s">
        <v>62</v>
      </c>
      <c r="X23" s="17" t="s">
        <v>63</v>
      </c>
      <c r="Y23" s="17" t="s">
        <v>64</v>
      </c>
      <c r="Z23" s="17" t="s">
        <v>65</v>
      </c>
      <c r="AA23" s="17" t="s">
        <v>62</v>
      </c>
      <c r="AB23" s="17" t="s">
        <v>63</v>
      </c>
      <c r="AC23" s="17" t="s">
        <v>64</v>
      </c>
      <c r="AD23" s="17" t="s">
        <v>65</v>
      </c>
      <c r="AE23" s="17" t="s">
        <v>62</v>
      </c>
      <c r="AF23" s="17" t="s">
        <v>63</v>
      </c>
      <c r="AG23" s="17" t="s">
        <v>64</v>
      </c>
      <c r="AH23" s="17" t="s">
        <v>65</v>
      </c>
      <c r="AI23" s="58" t="s">
        <v>62</v>
      </c>
      <c r="AJ23" s="17" t="s">
        <v>63</v>
      </c>
      <c r="AK23" s="17" t="s">
        <v>64</v>
      </c>
      <c r="AL23" s="17" t="s">
        <v>65</v>
      </c>
    </row>
    <row r="24" spans="1:38" ht="15.75" customHeight="1" x14ac:dyDescent="0.2">
      <c r="A24" s="16" t="s">
        <v>373</v>
      </c>
      <c r="B24" s="3"/>
      <c r="C24" s="17" t="s">
        <v>385</v>
      </c>
      <c r="D24" s="17" t="s">
        <v>386</v>
      </c>
      <c r="E24" s="17" t="s">
        <v>387</v>
      </c>
      <c r="F24" s="17" t="s">
        <v>388</v>
      </c>
      <c r="G24" s="17" t="s">
        <v>66</v>
      </c>
      <c r="H24" s="17" t="s">
        <v>67</v>
      </c>
      <c r="I24" s="17" t="s">
        <v>68</v>
      </c>
      <c r="J24" s="17" t="s">
        <v>69</v>
      </c>
      <c r="K24" s="17" t="s">
        <v>70</v>
      </c>
      <c r="L24" s="17" t="s">
        <v>71</v>
      </c>
      <c r="M24" s="17" t="s">
        <v>72</v>
      </c>
      <c r="N24" s="17" t="s">
        <v>73</v>
      </c>
      <c r="O24" s="17" t="s">
        <v>74</v>
      </c>
      <c r="P24" s="17" t="s">
        <v>75</v>
      </c>
      <c r="Q24" s="17" t="s">
        <v>76</v>
      </c>
      <c r="R24" s="17" t="s">
        <v>77</v>
      </c>
      <c r="S24" s="58" t="s">
        <v>321</v>
      </c>
      <c r="T24" s="17" t="s">
        <v>322</v>
      </c>
      <c r="U24" s="17" t="s">
        <v>323</v>
      </c>
      <c r="V24" s="17" t="s">
        <v>324</v>
      </c>
      <c r="W24" s="58" t="s">
        <v>325</v>
      </c>
      <c r="X24" s="17" t="s">
        <v>326</v>
      </c>
      <c r="Y24" s="17" t="s">
        <v>327</v>
      </c>
      <c r="Z24" s="17" t="s">
        <v>328</v>
      </c>
      <c r="AA24" s="17" t="s">
        <v>329</v>
      </c>
      <c r="AB24" s="17" t="s">
        <v>330</v>
      </c>
      <c r="AC24" s="17" t="s">
        <v>331</v>
      </c>
      <c r="AD24" s="17" t="s">
        <v>332</v>
      </c>
      <c r="AE24" s="17" t="s">
        <v>333</v>
      </c>
      <c r="AF24" s="17" t="s">
        <v>334</v>
      </c>
      <c r="AG24" s="17" t="s">
        <v>335</v>
      </c>
      <c r="AH24" s="17" t="s">
        <v>336</v>
      </c>
      <c r="AI24" s="17" t="s">
        <v>337</v>
      </c>
      <c r="AJ24" s="17" t="s">
        <v>338</v>
      </c>
      <c r="AK24" s="17" t="s">
        <v>339</v>
      </c>
      <c r="AL24" s="17" t="s">
        <v>340</v>
      </c>
    </row>
    <row r="25" spans="1:38" ht="15.75" customHeight="1" x14ac:dyDescent="0.2">
      <c r="A25" s="18" t="s">
        <v>383</v>
      </c>
      <c r="B25" s="3"/>
      <c r="C25" s="66">
        <f>IFERROR(ROUND('5-7 CC ATTENDEES'!C9*('5-7 CC ATTENDEES'!C10/100),1),0)</f>
        <v>0</v>
      </c>
      <c r="D25" s="66">
        <f>IFERROR(ROUND('5-7 CC ATTENDEES'!D9*('5-7 CC ATTENDEES'!D10/100),1),0)</f>
        <v>0</v>
      </c>
      <c r="E25" s="66">
        <f>IFERROR(ROUND('5-7 CC ATTENDEES'!E9*('5-7 CC ATTENDEES'!E10/100),1),0)</f>
        <v>0</v>
      </c>
      <c r="F25" s="66">
        <f>IFERROR(ROUND('5-7 CC ATTENDEES'!F9*('5-7 CC ATTENDEES'!F10/100),1),0)</f>
        <v>0</v>
      </c>
      <c r="G25" s="66">
        <f>IFERROR(ROUND('5-7 CC ATTENDEES'!G9*('5-7 CC ATTENDEES'!G10/100),1),0)</f>
        <v>0</v>
      </c>
      <c r="H25" s="66">
        <f>IFERROR(ROUND('5-7 CC ATTENDEES'!H9*('5-7 CC ATTENDEES'!H10/100),1),0)</f>
        <v>0</v>
      </c>
      <c r="I25" s="66">
        <f>IFERROR(ROUND('5-7 CC ATTENDEES'!I9*('5-7 CC ATTENDEES'!I10/100),1),0)</f>
        <v>0</v>
      </c>
      <c r="J25" s="66">
        <f>IFERROR(ROUND('5-7 CC ATTENDEES'!J9*('5-7 CC ATTENDEES'!J10/100),1),0)</f>
        <v>0</v>
      </c>
      <c r="K25" s="66">
        <f>IFERROR(ROUND('5-7 CC ATTENDEES'!K9*('5-7 CC ATTENDEES'!K10/100),1),0)</f>
        <v>0</v>
      </c>
      <c r="L25" s="66">
        <f>IFERROR(ROUND('5-7 CC ATTENDEES'!L9*('5-7 CC ATTENDEES'!L10/100),1),0)</f>
        <v>0</v>
      </c>
      <c r="M25" s="66">
        <f>IFERROR(ROUND('5-7 CC ATTENDEES'!M9*('5-7 CC ATTENDEES'!M10/100),1),0)</f>
        <v>0</v>
      </c>
      <c r="N25" s="66">
        <f>IFERROR(ROUND('5-7 CC ATTENDEES'!N9*('5-7 CC ATTENDEES'!N10/100),1),0)</f>
        <v>0</v>
      </c>
      <c r="O25" s="66">
        <f>IFERROR(ROUND('5-7 CC ATTENDEES'!O9*('5-7 CC ATTENDEES'!O10/100),1),0)</f>
        <v>0</v>
      </c>
      <c r="P25" s="66">
        <f>IFERROR(ROUND('5-7 CC ATTENDEES'!P9*('5-7 CC ATTENDEES'!P10/100),1),0)</f>
        <v>0</v>
      </c>
      <c r="Q25" s="66">
        <f>IFERROR(ROUND('5-7 CC ATTENDEES'!Q9*('5-7 CC ATTENDEES'!Q10/100),1),0)</f>
        <v>0</v>
      </c>
      <c r="R25" s="66">
        <f>IFERROR(ROUND('5-7 CC ATTENDEES'!R9*('5-7 CC ATTENDEES'!R10/100),1),0)</f>
        <v>0</v>
      </c>
      <c r="S25" s="66">
        <f>IFERROR(ROUND('5-7 CC ATTENDEES'!S9*('5-7 CC ATTENDEES'!S10/100),1),0)</f>
        <v>0</v>
      </c>
      <c r="T25" s="66">
        <f>IFERROR(ROUND('5-7 CC ATTENDEES'!T9*('5-7 CC ATTENDEES'!T10/100),1),0)</f>
        <v>0</v>
      </c>
      <c r="U25" s="66">
        <f>IFERROR(ROUND('5-7 CC ATTENDEES'!U9*('5-7 CC ATTENDEES'!U10/100),1),0)</f>
        <v>0</v>
      </c>
      <c r="V25" s="66">
        <f>IFERROR(ROUND('5-7 CC ATTENDEES'!V9*('5-7 CC ATTENDEES'!V10/100),1),0)</f>
        <v>0</v>
      </c>
      <c r="W25" s="66">
        <f>IFERROR(ROUND('5-7 CC ATTENDEES'!W9*('5-7 CC ATTENDEES'!W10/100),1),0)</f>
        <v>0</v>
      </c>
      <c r="X25" s="66">
        <f>IFERROR(ROUND('5-7 CC ATTENDEES'!X9*('5-7 CC ATTENDEES'!X10/100),1),0)</f>
        <v>0</v>
      </c>
      <c r="Y25" s="66">
        <f>IFERROR(ROUND('5-7 CC ATTENDEES'!Y9*('5-7 CC ATTENDEES'!Y10/100),1),0)</f>
        <v>0</v>
      </c>
      <c r="Z25" s="66">
        <f>IFERROR(ROUND('5-7 CC ATTENDEES'!Z9*('5-7 CC ATTENDEES'!Z10/100),1),0)</f>
        <v>0</v>
      </c>
      <c r="AA25" s="66">
        <f>IFERROR(ROUND('5-7 CC ATTENDEES'!AA9*('5-7 CC ATTENDEES'!AA10/100),1),0)</f>
        <v>0</v>
      </c>
      <c r="AB25" s="66">
        <f>IFERROR(ROUND('5-7 CC ATTENDEES'!AB9*('5-7 CC ATTENDEES'!AB10/100),1),0)</f>
        <v>0</v>
      </c>
      <c r="AC25" s="66">
        <f>IFERROR(ROUND('5-7 CC ATTENDEES'!AC9*('5-7 CC ATTENDEES'!AC10/100),1),0)</f>
        <v>0</v>
      </c>
      <c r="AD25" s="66">
        <f>IFERROR(ROUND('5-7 CC ATTENDEES'!AD9*('5-7 CC ATTENDEES'!AD10/100),1),0)</f>
        <v>0</v>
      </c>
      <c r="AE25" s="66">
        <f>IFERROR(ROUND('5-7 CC ATTENDEES'!AE9*('5-7 CC ATTENDEES'!AE10/100),1),0)</f>
        <v>0</v>
      </c>
      <c r="AF25" s="66">
        <f>IFERROR(ROUND('5-7 CC ATTENDEES'!AF9*('5-7 CC ATTENDEES'!AF10/100),1),0)</f>
        <v>0</v>
      </c>
      <c r="AG25" s="66">
        <f>IFERROR(ROUND('5-7 CC ATTENDEES'!AG9*('5-7 CC ATTENDEES'!AG10/100),1),0)</f>
        <v>0</v>
      </c>
      <c r="AH25" s="66">
        <f>IFERROR(ROUND('5-7 CC ATTENDEES'!AH9*('5-7 CC ATTENDEES'!AH10/100),1),0)</f>
        <v>0</v>
      </c>
      <c r="AI25" s="66">
        <f>IFERROR(ROUND('5-7 CC ATTENDEES'!AI9*('5-7 CC ATTENDEES'!AI10/100),1),0)</f>
        <v>0</v>
      </c>
      <c r="AJ25" s="66">
        <f>IFERROR(ROUND('5-7 CC ATTENDEES'!AJ9*('5-7 CC ATTENDEES'!AJ10/100),1),0)</f>
        <v>0</v>
      </c>
      <c r="AK25" s="66">
        <f>IFERROR(ROUND('5-7 CC ATTENDEES'!AK9*('5-7 CC ATTENDEES'!AK10/100),1),0)</f>
        <v>0</v>
      </c>
      <c r="AL25" s="66">
        <f>IFERROR(ROUND('5-7 CC ATTENDEES'!AL9*('5-7 CC ATTENDEES'!AL10/100),1),0)</f>
        <v>0</v>
      </c>
    </row>
    <row r="26" spans="1:38" ht="15.75" customHeight="1" x14ac:dyDescent="0.2">
      <c r="A26" s="16" t="s">
        <v>381</v>
      </c>
      <c r="B26" s="3"/>
      <c r="C26" s="17" t="s">
        <v>62</v>
      </c>
      <c r="D26" s="17" t="s">
        <v>63</v>
      </c>
      <c r="E26" s="17" t="s">
        <v>64</v>
      </c>
      <c r="F26" s="17" t="s">
        <v>65</v>
      </c>
      <c r="G26" s="17" t="s">
        <v>62</v>
      </c>
      <c r="H26" s="17" t="s">
        <v>63</v>
      </c>
      <c r="I26" s="17" t="s">
        <v>64</v>
      </c>
      <c r="J26" s="17" t="s">
        <v>65</v>
      </c>
      <c r="K26" s="17" t="s">
        <v>62</v>
      </c>
      <c r="L26" s="17" t="s">
        <v>63</v>
      </c>
      <c r="M26" s="17" t="s">
        <v>64</v>
      </c>
      <c r="N26" s="17" t="s">
        <v>65</v>
      </c>
      <c r="O26" s="17" t="s">
        <v>62</v>
      </c>
      <c r="P26" s="17" t="s">
        <v>63</v>
      </c>
      <c r="Q26" s="17" t="s">
        <v>64</v>
      </c>
      <c r="R26" s="17" t="s">
        <v>65</v>
      </c>
      <c r="S26" s="17" t="s">
        <v>62</v>
      </c>
      <c r="T26" s="17" t="s">
        <v>63</v>
      </c>
      <c r="U26" s="17" t="s">
        <v>64</v>
      </c>
      <c r="V26" s="17" t="s">
        <v>65</v>
      </c>
      <c r="W26" s="17" t="s">
        <v>62</v>
      </c>
      <c r="X26" s="17" t="s">
        <v>63</v>
      </c>
      <c r="Y26" s="17" t="s">
        <v>64</v>
      </c>
      <c r="Z26" s="17" t="s">
        <v>65</v>
      </c>
      <c r="AA26" s="17" t="s">
        <v>62</v>
      </c>
      <c r="AB26" s="17" t="s">
        <v>63</v>
      </c>
      <c r="AC26" s="17" t="s">
        <v>64</v>
      </c>
      <c r="AD26" s="17" t="s">
        <v>65</v>
      </c>
      <c r="AE26" s="17" t="s">
        <v>62</v>
      </c>
      <c r="AF26" s="17" t="s">
        <v>63</v>
      </c>
      <c r="AG26" s="17" t="s">
        <v>64</v>
      </c>
      <c r="AH26" s="17" t="s">
        <v>65</v>
      </c>
      <c r="AI26" s="58" t="s">
        <v>62</v>
      </c>
      <c r="AJ26" s="17" t="s">
        <v>63</v>
      </c>
      <c r="AK26" s="17" t="s">
        <v>64</v>
      </c>
      <c r="AL26" s="17" t="s">
        <v>65</v>
      </c>
    </row>
    <row r="27" spans="1:38" ht="15.75" customHeight="1" x14ac:dyDescent="0.2">
      <c r="A27" s="16" t="s">
        <v>373</v>
      </c>
      <c r="B27" s="3"/>
      <c r="C27" s="17" t="s">
        <v>385</v>
      </c>
      <c r="D27" s="17" t="s">
        <v>386</v>
      </c>
      <c r="E27" s="17" t="s">
        <v>387</v>
      </c>
      <c r="F27" s="17" t="s">
        <v>388</v>
      </c>
      <c r="G27" s="17" t="s">
        <v>66</v>
      </c>
      <c r="H27" s="17" t="s">
        <v>67</v>
      </c>
      <c r="I27" s="17" t="s">
        <v>68</v>
      </c>
      <c r="J27" s="17" t="s">
        <v>69</v>
      </c>
      <c r="K27" s="17" t="s">
        <v>70</v>
      </c>
      <c r="L27" s="17" t="s">
        <v>71</v>
      </c>
      <c r="M27" s="17" t="s">
        <v>72</v>
      </c>
      <c r="N27" s="17" t="s">
        <v>73</v>
      </c>
      <c r="O27" s="17" t="s">
        <v>74</v>
      </c>
      <c r="P27" s="17" t="s">
        <v>75</v>
      </c>
      <c r="Q27" s="17" t="s">
        <v>76</v>
      </c>
      <c r="R27" s="17" t="s">
        <v>77</v>
      </c>
      <c r="S27" s="58" t="s">
        <v>321</v>
      </c>
      <c r="T27" s="17" t="s">
        <v>322</v>
      </c>
      <c r="U27" s="17" t="s">
        <v>323</v>
      </c>
      <c r="V27" s="17" t="s">
        <v>324</v>
      </c>
      <c r="W27" s="58" t="s">
        <v>325</v>
      </c>
      <c r="X27" s="17" t="s">
        <v>326</v>
      </c>
      <c r="Y27" s="17" t="s">
        <v>327</v>
      </c>
      <c r="Z27" s="17" t="s">
        <v>328</v>
      </c>
      <c r="AA27" s="17" t="s">
        <v>329</v>
      </c>
      <c r="AB27" s="17" t="s">
        <v>330</v>
      </c>
      <c r="AC27" s="17" t="s">
        <v>331</v>
      </c>
      <c r="AD27" s="17" t="s">
        <v>332</v>
      </c>
      <c r="AE27" s="17" t="s">
        <v>333</v>
      </c>
      <c r="AF27" s="17" t="s">
        <v>334</v>
      </c>
      <c r="AG27" s="17" t="s">
        <v>335</v>
      </c>
      <c r="AH27" s="17" t="s">
        <v>336</v>
      </c>
      <c r="AI27" s="17" t="s">
        <v>337</v>
      </c>
      <c r="AJ27" s="17" t="s">
        <v>338</v>
      </c>
      <c r="AK27" s="17" t="s">
        <v>339</v>
      </c>
      <c r="AL27" s="17" t="s">
        <v>340</v>
      </c>
    </row>
    <row r="28" spans="1:38" ht="15.75" customHeight="1" x14ac:dyDescent="0.2">
      <c r="A28" s="18" t="s">
        <v>382</v>
      </c>
      <c r="B28" s="3"/>
      <c r="C28" s="66">
        <f>IFERROR(ROUND('5-7 CC ATTENDEES'!C14*('5-7 CC ATTENDEES'!C15/100),1),0)</f>
        <v>0</v>
      </c>
      <c r="D28" s="66">
        <f>IFERROR(ROUND('5-7 CC ATTENDEES'!D14*('5-7 CC ATTENDEES'!D15/100),1),0)</f>
        <v>0</v>
      </c>
      <c r="E28" s="66">
        <f>IFERROR(ROUND('5-7 CC ATTENDEES'!E14*('5-7 CC ATTENDEES'!E15/100),1),0)</f>
        <v>0</v>
      </c>
      <c r="F28" s="66">
        <f>IFERROR(ROUND('5-7 CC ATTENDEES'!F14*('5-7 CC ATTENDEES'!F15/100),1),0)</f>
        <v>0</v>
      </c>
      <c r="G28" s="66">
        <f>IFERROR(ROUND('5-7 CC ATTENDEES'!G14*('5-7 CC ATTENDEES'!G15/100),1),0)</f>
        <v>0</v>
      </c>
      <c r="H28" s="66">
        <f>IFERROR(ROUND('5-7 CC ATTENDEES'!H14*('5-7 CC ATTENDEES'!H15/100),1),0)</f>
        <v>0</v>
      </c>
      <c r="I28" s="66">
        <f>IFERROR(ROUND('5-7 CC ATTENDEES'!I14*('5-7 CC ATTENDEES'!I15/100),1),0)</f>
        <v>0</v>
      </c>
      <c r="J28" s="66">
        <f>IFERROR(ROUND('5-7 CC ATTENDEES'!J14*('5-7 CC ATTENDEES'!J15/100),1),0)</f>
        <v>0</v>
      </c>
      <c r="K28" s="66">
        <f>IFERROR(ROUND('5-7 CC ATTENDEES'!K14*('5-7 CC ATTENDEES'!K15/100),1),0)</f>
        <v>0</v>
      </c>
      <c r="L28" s="66">
        <f>IFERROR(ROUND('5-7 CC ATTENDEES'!L14*('5-7 CC ATTENDEES'!L15/100),1),0)</f>
        <v>0</v>
      </c>
      <c r="M28" s="66">
        <f>IFERROR(ROUND('5-7 CC ATTENDEES'!M14*('5-7 CC ATTENDEES'!M15/100),1),0)</f>
        <v>0</v>
      </c>
      <c r="N28" s="66">
        <f>IFERROR(ROUND('5-7 CC ATTENDEES'!N14*('5-7 CC ATTENDEES'!N15/100),1),0)</f>
        <v>0</v>
      </c>
      <c r="O28" s="66">
        <f>IFERROR(ROUND('5-7 CC ATTENDEES'!O14*('5-7 CC ATTENDEES'!O15/100),1),0)</f>
        <v>0</v>
      </c>
      <c r="P28" s="66">
        <f>IFERROR(ROUND('5-7 CC ATTENDEES'!P14*('5-7 CC ATTENDEES'!P15/100),1),0)</f>
        <v>0</v>
      </c>
      <c r="Q28" s="66">
        <f>IFERROR(ROUND('5-7 CC ATTENDEES'!Q14*('5-7 CC ATTENDEES'!Q15/100),1),0)</f>
        <v>0</v>
      </c>
      <c r="R28" s="66">
        <f>IFERROR(ROUND('5-7 CC ATTENDEES'!R14*('5-7 CC ATTENDEES'!R15/100),1),0)</f>
        <v>0</v>
      </c>
      <c r="S28" s="66">
        <f>IFERROR(ROUND('5-7 CC ATTENDEES'!S14*('5-7 CC ATTENDEES'!S15/100),1),0)</f>
        <v>0</v>
      </c>
      <c r="T28" s="66">
        <f>IFERROR(ROUND('5-7 CC ATTENDEES'!T14*('5-7 CC ATTENDEES'!T15/100),1),0)</f>
        <v>0</v>
      </c>
      <c r="U28" s="66">
        <f>IFERROR(ROUND('5-7 CC ATTENDEES'!U14*('5-7 CC ATTENDEES'!U15/100),1),0)</f>
        <v>0</v>
      </c>
      <c r="V28" s="66">
        <f>IFERROR(ROUND('5-7 CC ATTENDEES'!V14*('5-7 CC ATTENDEES'!V15/100),1),0)</f>
        <v>0</v>
      </c>
      <c r="W28" s="66">
        <f>IFERROR(ROUND('5-7 CC ATTENDEES'!W14*('5-7 CC ATTENDEES'!W15/100),1),0)</f>
        <v>0</v>
      </c>
      <c r="X28" s="66">
        <f>IFERROR(ROUND('5-7 CC ATTENDEES'!X14*('5-7 CC ATTENDEES'!X15/100),1),0)</f>
        <v>0</v>
      </c>
      <c r="Y28" s="66">
        <f>IFERROR(ROUND('5-7 CC ATTENDEES'!Y14*('5-7 CC ATTENDEES'!Y15/100),1),0)</f>
        <v>0</v>
      </c>
      <c r="Z28" s="66">
        <f>IFERROR(ROUND('5-7 CC ATTENDEES'!Z14*('5-7 CC ATTENDEES'!Z15/100),1),0)</f>
        <v>0</v>
      </c>
      <c r="AA28" s="66">
        <f>IFERROR(ROUND('5-7 CC ATTENDEES'!AA14*('5-7 CC ATTENDEES'!AA15/100),1),0)</f>
        <v>0</v>
      </c>
      <c r="AB28" s="66">
        <f>IFERROR(ROUND('5-7 CC ATTENDEES'!AB14*('5-7 CC ATTENDEES'!AB15/100),1),0)</f>
        <v>0</v>
      </c>
      <c r="AC28" s="66">
        <f>IFERROR(ROUND('5-7 CC ATTENDEES'!AC14*('5-7 CC ATTENDEES'!AC15/100),1),0)</f>
        <v>0</v>
      </c>
      <c r="AD28" s="66">
        <f>IFERROR(ROUND('5-7 CC ATTENDEES'!AD14*('5-7 CC ATTENDEES'!AD15/100),1),0)</f>
        <v>0</v>
      </c>
      <c r="AE28" s="66">
        <f>IFERROR(ROUND('5-7 CC ATTENDEES'!AE14*('5-7 CC ATTENDEES'!AE15/100),1),0)</f>
        <v>0</v>
      </c>
      <c r="AF28" s="66">
        <f>IFERROR(ROUND('5-7 CC ATTENDEES'!AF14*('5-7 CC ATTENDEES'!AF15/100),1),0)</f>
        <v>0</v>
      </c>
      <c r="AG28" s="66">
        <f>IFERROR(ROUND('5-7 CC ATTENDEES'!AG14*('5-7 CC ATTENDEES'!AG15/100),1),0)</f>
        <v>0</v>
      </c>
      <c r="AH28" s="66">
        <f>IFERROR(ROUND('5-7 CC ATTENDEES'!AH14*('5-7 CC ATTENDEES'!AH15/100),1),0)</f>
        <v>0</v>
      </c>
      <c r="AI28" s="66">
        <f>IFERROR(ROUND('5-7 CC ATTENDEES'!AI14*('5-7 CC ATTENDEES'!AI15/100),1),0)</f>
        <v>0</v>
      </c>
      <c r="AJ28" s="66">
        <f>IFERROR(ROUND('5-7 CC ATTENDEES'!AJ14*('5-7 CC ATTENDEES'!AJ15/100),1),0)</f>
        <v>0</v>
      </c>
      <c r="AK28" s="66">
        <f>IFERROR(ROUND('5-7 CC ATTENDEES'!AK14*('5-7 CC ATTENDEES'!AK15/100),1),0)</f>
        <v>0</v>
      </c>
      <c r="AL28" s="66">
        <f>IFERROR(ROUND('5-7 CC ATTENDEES'!AL14*('5-7 CC ATTENDEES'!AL15/100),1),0)</f>
        <v>0</v>
      </c>
    </row>
    <row r="29" spans="1:38" ht="31.5" customHeight="1" x14ac:dyDescent="0.2">
      <c r="A29" s="29"/>
      <c r="B29" s="29"/>
      <c r="C29" s="29"/>
      <c r="D29" s="29"/>
      <c r="E29" s="29"/>
      <c r="F29" s="29"/>
      <c r="G29" s="29"/>
      <c r="H29" s="29"/>
      <c r="I29" s="29"/>
      <c r="J29" s="29"/>
      <c r="K29" s="29"/>
      <c r="L29" s="29"/>
      <c r="M29" s="29"/>
      <c r="N29" s="29"/>
      <c r="O29" s="29"/>
      <c r="P29" s="29"/>
      <c r="Q29" s="29"/>
      <c r="R29" s="29"/>
      <c r="S29" s="29"/>
      <c r="T29" s="29"/>
      <c r="U29" s="3"/>
      <c r="V29" s="3"/>
      <c r="W29" s="3"/>
      <c r="X29" s="3"/>
      <c r="Y29" s="3"/>
      <c r="Z29" s="3"/>
      <c r="AA29" s="3"/>
      <c r="AB29" s="3"/>
      <c r="AC29" s="3"/>
      <c r="AD29" s="3"/>
      <c r="AE29" s="3"/>
      <c r="AF29" s="3"/>
      <c r="AG29" s="3"/>
      <c r="AH29" s="3"/>
      <c r="AI29" s="3"/>
      <c r="AJ29" s="3"/>
      <c r="AK29" s="3"/>
      <c r="AL29" s="3"/>
    </row>
    <row r="30" spans="1:38" ht="17.25" customHeight="1" x14ac:dyDescent="0.2">
      <c r="A30" s="15" t="s">
        <v>117</v>
      </c>
      <c r="B30" s="3"/>
      <c r="C30" s="25"/>
      <c r="D30" s="25"/>
      <c r="E30" s="25"/>
      <c r="F30" s="25"/>
      <c r="G30" s="25"/>
      <c r="H30" s="25"/>
      <c r="I30" s="25"/>
      <c r="J30" s="25"/>
      <c r="K30" s="25"/>
      <c r="L30" s="25"/>
      <c r="M30" s="25"/>
      <c r="N30" s="25"/>
      <c r="O30" s="3"/>
      <c r="P30" s="3"/>
      <c r="Q30" s="3"/>
      <c r="R30" s="3"/>
      <c r="S30" s="3"/>
      <c r="T30" s="3"/>
      <c r="U30" s="3"/>
      <c r="V30" s="3"/>
      <c r="W30" s="3"/>
      <c r="X30" s="3"/>
      <c r="Y30" s="3"/>
      <c r="Z30" s="3"/>
      <c r="AA30" s="3"/>
      <c r="AB30" s="3"/>
      <c r="AC30" s="3"/>
      <c r="AD30" s="3"/>
      <c r="AE30" s="3"/>
      <c r="AF30" s="3"/>
      <c r="AG30" s="3"/>
      <c r="AH30" s="3"/>
      <c r="AI30" s="3"/>
      <c r="AJ30" s="3"/>
      <c r="AK30" s="3"/>
      <c r="AL30" s="3"/>
    </row>
    <row r="31" spans="1:38" ht="47" customHeight="1" x14ac:dyDescent="0.2">
      <c r="A31" s="37" t="str">
        <f>(A2&amp;" and "&amp;A4)</f>
        <v>Indicator 5b and Indicator 6b</v>
      </c>
      <c r="B31" s="3"/>
      <c r="C31" s="82" t="s">
        <v>449</v>
      </c>
      <c r="D31" s="83"/>
      <c r="E31" s="83"/>
      <c r="F31" s="83"/>
      <c r="G31" s="83"/>
      <c r="H31" s="83"/>
      <c r="I31" s="83"/>
      <c r="J31" s="83"/>
      <c r="K31" s="83"/>
      <c r="L31" s="83"/>
      <c r="M31" s="83"/>
      <c r="N31" s="83"/>
      <c r="O31" s="3"/>
      <c r="P31" s="3"/>
      <c r="Q31" s="3"/>
      <c r="R31" s="3"/>
      <c r="S31" s="3"/>
      <c r="T31" s="3"/>
      <c r="U31" s="3"/>
      <c r="V31" s="3"/>
      <c r="W31" s="3"/>
      <c r="X31" s="3"/>
      <c r="Y31" s="3"/>
      <c r="Z31" s="3"/>
      <c r="AA31" s="3"/>
      <c r="AB31" s="3"/>
      <c r="AC31" s="3"/>
      <c r="AD31" s="3"/>
      <c r="AE31" s="3"/>
      <c r="AF31" s="3"/>
      <c r="AG31" s="3"/>
      <c r="AH31" s="3"/>
      <c r="AI31" s="3"/>
      <c r="AJ31" s="3"/>
      <c r="AK31" s="3"/>
      <c r="AL31" s="3"/>
    </row>
    <row r="32" spans="1:38" ht="17.25" customHeight="1" x14ac:dyDescent="0.2">
      <c r="A32" s="81" t="s">
        <v>448</v>
      </c>
      <c r="B32" s="3"/>
      <c r="C32" s="42" t="s">
        <v>450</v>
      </c>
      <c r="D32" s="32"/>
      <c r="E32" s="32"/>
      <c r="F32" s="32"/>
      <c r="G32" s="32"/>
      <c r="H32" s="32"/>
      <c r="I32" s="32"/>
      <c r="J32" s="32"/>
      <c r="K32" s="32"/>
      <c r="L32" s="32"/>
      <c r="M32" s="32"/>
      <c r="N32" s="32"/>
      <c r="O32" s="3"/>
      <c r="P32" s="3"/>
      <c r="Q32" s="3"/>
      <c r="R32" s="3"/>
      <c r="S32" s="3"/>
      <c r="T32" s="3"/>
      <c r="U32" s="3"/>
      <c r="V32" s="3"/>
      <c r="W32" s="3"/>
      <c r="X32" s="3"/>
      <c r="Y32" s="3"/>
      <c r="Z32" s="3"/>
      <c r="AA32" s="3"/>
      <c r="AB32" s="3"/>
      <c r="AC32" s="3"/>
      <c r="AD32" s="3"/>
      <c r="AE32" s="3"/>
      <c r="AF32" s="3"/>
      <c r="AG32" s="3"/>
      <c r="AH32" s="3"/>
      <c r="AI32" s="3"/>
      <c r="AJ32" s="3"/>
      <c r="AK32" s="3"/>
      <c r="AL32" s="3"/>
    </row>
    <row r="33" spans="1:38" ht="17.25" customHeight="1" x14ac:dyDescent="0.2">
      <c r="A33" s="24"/>
      <c r="B33" s="3"/>
      <c r="C33" s="42"/>
      <c r="D33" s="32"/>
      <c r="E33" s="32"/>
      <c r="F33" s="32"/>
      <c r="G33" s="32"/>
      <c r="H33" s="32"/>
      <c r="I33" s="32"/>
      <c r="J33" s="32"/>
      <c r="K33" s="32"/>
      <c r="L33" s="32"/>
      <c r="M33" s="32"/>
      <c r="N33" s="32"/>
      <c r="O33" s="3"/>
      <c r="P33" s="3"/>
      <c r="Q33" s="3"/>
      <c r="R33" s="3"/>
      <c r="S33" s="3"/>
      <c r="T33" s="3"/>
      <c r="U33" s="3"/>
      <c r="V33" s="3"/>
      <c r="W33" s="3"/>
      <c r="X33" s="3"/>
      <c r="Y33" s="3"/>
      <c r="Z33" s="3"/>
      <c r="AA33" s="3"/>
      <c r="AB33" s="3"/>
      <c r="AC33" s="3"/>
      <c r="AD33" s="3"/>
      <c r="AE33" s="3"/>
      <c r="AF33" s="3"/>
      <c r="AG33" s="3"/>
      <c r="AH33" s="3"/>
      <c r="AI33" s="3"/>
      <c r="AJ33" s="3"/>
      <c r="AK33" s="3"/>
      <c r="AL33" s="3"/>
    </row>
    <row r="34" spans="1:38" ht="17.25" customHeight="1" x14ac:dyDescent="0.2">
      <c r="A34" s="15" t="s">
        <v>119</v>
      </c>
      <c r="B34" s="3"/>
      <c r="C34" s="32"/>
      <c r="D34" s="32"/>
      <c r="E34" s="32"/>
      <c r="F34" s="32"/>
      <c r="G34" s="32"/>
      <c r="H34" s="32"/>
      <c r="I34" s="32"/>
      <c r="J34" s="32"/>
      <c r="K34" s="32"/>
      <c r="L34" s="32"/>
      <c r="M34" s="32"/>
      <c r="N34" s="32"/>
      <c r="O34" s="3"/>
      <c r="P34" s="3"/>
      <c r="Q34" s="3"/>
      <c r="R34" s="3"/>
      <c r="S34" s="3"/>
      <c r="T34" s="3"/>
      <c r="U34" s="3"/>
      <c r="V34" s="3"/>
      <c r="W34" s="3"/>
      <c r="X34" s="3"/>
      <c r="Y34" s="3"/>
      <c r="Z34" s="3"/>
      <c r="AA34" s="3"/>
      <c r="AB34" s="3"/>
      <c r="AC34" s="3"/>
      <c r="AD34" s="3"/>
      <c r="AE34" s="3"/>
      <c r="AF34" s="3"/>
      <c r="AG34" s="3"/>
      <c r="AH34" s="3"/>
      <c r="AI34" s="3"/>
      <c r="AJ34" s="3"/>
      <c r="AK34" s="3"/>
      <c r="AL34" s="3"/>
    </row>
    <row r="35" spans="1:38" ht="175.5" customHeight="1" x14ac:dyDescent="0.2">
      <c r="A35" s="31" t="s">
        <v>157</v>
      </c>
      <c r="B35" s="3"/>
      <c r="C35" s="82" t="s">
        <v>161</v>
      </c>
      <c r="D35" s="83"/>
      <c r="E35" s="83"/>
      <c r="F35" s="83"/>
      <c r="G35" s="83"/>
      <c r="H35" s="83"/>
      <c r="I35" s="83"/>
      <c r="J35" s="83"/>
      <c r="K35" s="83"/>
      <c r="L35" s="83"/>
      <c r="M35" s="83"/>
      <c r="N35" s="83"/>
      <c r="O35" s="3"/>
      <c r="P35" s="3"/>
      <c r="Q35" s="3"/>
      <c r="R35" s="3"/>
      <c r="S35" s="3"/>
      <c r="T35" s="3"/>
      <c r="U35" s="3"/>
      <c r="V35" s="3"/>
      <c r="W35" s="3"/>
      <c r="X35" s="3"/>
      <c r="Y35" s="3"/>
      <c r="Z35" s="3"/>
      <c r="AA35" s="3"/>
      <c r="AB35" s="3"/>
      <c r="AC35" s="3"/>
      <c r="AD35" s="3"/>
      <c r="AE35" s="3"/>
      <c r="AF35" s="3"/>
      <c r="AG35" s="3"/>
      <c r="AH35" s="3"/>
      <c r="AI35" s="3"/>
      <c r="AJ35" s="3"/>
      <c r="AK35" s="3"/>
      <c r="AL35" s="3"/>
    </row>
    <row r="36" spans="1:38" ht="32" customHeight="1" x14ac:dyDescent="0.2">
      <c r="A36" s="33" t="s">
        <v>432</v>
      </c>
      <c r="B36" s="3"/>
      <c r="C36" s="42" t="s">
        <v>431</v>
      </c>
      <c r="O36" s="3"/>
      <c r="P36" s="3"/>
      <c r="Q36" s="3"/>
      <c r="R36" s="3"/>
      <c r="S36" s="3"/>
      <c r="T36" s="3"/>
      <c r="U36" s="3"/>
      <c r="V36" s="3"/>
      <c r="W36" s="3"/>
      <c r="X36" s="3"/>
      <c r="Y36" s="3"/>
      <c r="Z36" s="3"/>
      <c r="AA36" s="3"/>
      <c r="AB36" s="3"/>
      <c r="AC36" s="3"/>
      <c r="AD36" s="3"/>
      <c r="AE36" s="3"/>
      <c r="AF36" s="3"/>
      <c r="AG36" s="3"/>
      <c r="AH36" s="3"/>
      <c r="AI36" s="3"/>
      <c r="AJ36" s="3"/>
      <c r="AK36" s="3"/>
      <c r="AL36" s="3"/>
    </row>
    <row r="37" spans="1:38" ht="15.75" customHeight="1" x14ac:dyDescent="0.2">
      <c r="A37" s="3"/>
      <c r="B37" s="3"/>
      <c r="C37" s="32"/>
      <c r="D37" s="32"/>
      <c r="E37" s="32"/>
      <c r="F37" s="32"/>
      <c r="G37" s="32"/>
      <c r="H37" s="32"/>
      <c r="I37" s="32"/>
      <c r="J37" s="32"/>
      <c r="K37" s="32"/>
      <c r="L37" s="32"/>
      <c r="M37" s="32"/>
      <c r="N37" s="32"/>
      <c r="O37" s="3"/>
      <c r="P37" s="3"/>
      <c r="Q37" s="3"/>
      <c r="R37" s="3"/>
      <c r="S37" s="3"/>
      <c r="T37" s="3"/>
      <c r="U37" s="3"/>
      <c r="V37" s="3"/>
      <c r="W37" s="3"/>
      <c r="X37" s="3"/>
      <c r="Y37" s="3"/>
      <c r="Z37" s="3"/>
      <c r="AA37" s="3"/>
      <c r="AB37" s="3"/>
      <c r="AC37" s="3"/>
      <c r="AD37" s="3"/>
      <c r="AE37" s="3"/>
      <c r="AF37" s="3"/>
      <c r="AG37" s="3"/>
      <c r="AH37" s="3"/>
      <c r="AI37" s="3"/>
      <c r="AJ37" s="3"/>
      <c r="AK37" s="3"/>
      <c r="AL37" s="3"/>
    </row>
    <row r="38" spans="1:38" ht="15.75" customHeight="1" x14ac:dyDescent="0.2">
      <c r="A38" s="15" t="s">
        <v>142</v>
      </c>
      <c r="B38" s="3"/>
      <c r="C38" s="32"/>
      <c r="D38" s="32"/>
      <c r="E38" s="32"/>
      <c r="F38" s="32"/>
      <c r="G38" s="32"/>
      <c r="H38" s="32"/>
      <c r="I38" s="32"/>
      <c r="J38" s="32"/>
      <c r="K38" s="32"/>
      <c r="L38" s="32"/>
      <c r="M38" s="32"/>
      <c r="N38" s="32"/>
      <c r="O38" s="3"/>
      <c r="P38" s="3"/>
      <c r="Q38" s="3"/>
      <c r="R38" s="3"/>
      <c r="S38" s="3"/>
      <c r="T38" s="3"/>
      <c r="U38" s="3"/>
      <c r="V38" s="3"/>
      <c r="W38" s="3"/>
      <c r="X38" s="3"/>
      <c r="Y38" s="3"/>
      <c r="Z38" s="3"/>
      <c r="AA38" s="3"/>
      <c r="AB38" s="3"/>
      <c r="AC38" s="3"/>
      <c r="AD38" s="3"/>
      <c r="AE38" s="3"/>
      <c r="AF38" s="3"/>
      <c r="AG38" s="3"/>
      <c r="AH38" s="3"/>
      <c r="AI38" s="3"/>
      <c r="AJ38" s="3"/>
      <c r="AK38" s="3"/>
      <c r="AL38" s="3"/>
    </row>
    <row r="39" spans="1:38" ht="15.75" customHeight="1" x14ac:dyDescent="0.2">
      <c r="A39" s="38" t="str">
        <f>(A1&amp;" – "&amp;A4)</f>
        <v>Indicator 5a – Indicator 6b</v>
      </c>
      <c r="B39" s="3"/>
      <c r="C39" s="82" t="s">
        <v>143</v>
      </c>
      <c r="D39" s="83"/>
      <c r="E39" s="83"/>
      <c r="F39" s="83"/>
      <c r="G39" s="83"/>
      <c r="H39" s="83"/>
      <c r="I39" s="83"/>
      <c r="J39" s="83"/>
      <c r="K39" s="83"/>
      <c r="L39" s="83"/>
      <c r="M39" s="83"/>
      <c r="N39" s="83"/>
      <c r="O39" s="3"/>
      <c r="P39" s="3"/>
      <c r="Q39" s="3"/>
      <c r="R39" s="3"/>
      <c r="S39" s="3"/>
      <c r="T39" s="3"/>
      <c r="U39" s="3"/>
      <c r="V39" s="3"/>
      <c r="W39" s="3"/>
      <c r="X39" s="3"/>
      <c r="Y39" s="3"/>
      <c r="Z39" s="3"/>
      <c r="AA39" s="3"/>
      <c r="AB39" s="3"/>
      <c r="AC39" s="3"/>
      <c r="AD39" s="3"/>
      <c r="AE39" s="3"/>
      <c r="AF39" s="3"/>
      <c r="AG39" s="3"/>
      <c r="AH39" s="3"/>
      <c r="AI39" s="3"/>
      <c r="AJ39" s="3"/>
      <c r="AK39" s="3"/>
      <c r="AL39" s="3"/>
    </row>
    <row r="40" spans="1:38" ht="15.75" customHeight="1" x14ac:dyDescent="0.2">
      <c r="A40" s="3"/>
      <c r="B40" s="3"/>
      <c r="C40" s="32"/>
      <c r="D40" s="32"/>
      <c r="E40" s="32"/>
      <c r="F40" s="32"/>
      <c r="G40" s="32"/>
      <c r="H40" s="32"/>
      <c r="I40" s="32"/>
      <c r="J40" s="32"/>
      <c r="K40" s="32"/>
      <c r="L40" s="32"/>
      <c r="M40" s="32"/>
      <c r="N40" s="32"/>
      <c r="O40" s="3"/>
      <c r="P40" s="3"/>
      <c r="Q40" s="3"/>
      <c r="R40" s="3"/>
      <c r="S40" s="3"/>
      <c r="T40" s="3"/>
      <c r="U40" s="3"/>
      <c r="V40" s="3"/>
      <c r="W40" s="3"/>
      <c r="X40" s="3"/>
      <c r="Y40" s="3"/>
      <c r="Z40" s="3"/>
      <c r="AA40" s="3"/>
      <c r="AB40" s="3"/>
      <c r="AC40" s="3"/>
      <c r="AD40" s="3"/>
      <c r="AE40" s="3"/>
      <c r="AF40" s="3"/>
      <c r="AG40" s="3"/>
      <c r="AH40" s="3"/>
      <c r="AI40" s="3"/>
      <c r="AJ40" s="3"/>
      <c r="AK40" s="3"/>
      <c r="AL40" s="3"/>
    </row>
    <row r="41" spans="1:38" ht="15.75" customHeight="1" x14ac:dyDescent="0.2">
      <c r="A41" s="15" t="s">
        <v>144</v>
      </c>
      <c r="B41" s="3"/>
      <c r="C41" s="32"/>
      <c r="D41" s="32"/>
      <c r="E41" s="32"/>
      <c r="F41" s="32"/>
      <c r="G41" s="32"/>
      <c r="H41" s="32"/>
      <c r="I41" s="32"/>
      <c r="J41" s="32"/>
      <c r="K41" s="32"/>
      <c r="L41" s="32"/>
      <c r="M41" s="32"/>
      <c r="N41" s="32"/>
      <c r="O41" s="3"/>
      <c r="P41" s="3"/>
      <c r="Q41" s="3"/>
      <c r="R41" s="3"/>
      <c r="S41" s="3"/>
      <c r="T41" s="3"/>
      <c r="U41" s="3"/>
      <c r="V41" s="3"/>
      <c r="W41" s="3"/>
      <c r="X41" s="3"/>
      <c r="Y41" s="3"/>
      <c r="Z41" s="3"/>
      <c r="AA41" s="3"/>
      <c r="AB41" s="3"/>
      <c r="AC41" s="3"/>
      <c r="AD41" s="3"/>
      <c r="AE41" s="3"/>
      <c r="AF41" s="3"/>
      <c r="AG41" s="3"/>
      <c r="AH41" s="3"/>
      <c r="AI41" s="3"/>
      <c r="AJ41" s="3"/>
      <c r="AK41" s="3"/>
      <c r="AL41" s="3"/>
    </row>
    <row r="42" spans="1:38" ht="31.5" customHeight="1" x14ac:dyDescent="0.2">
      <c r="A42" s="37" t="str">
        <f>(A1&amp;" – "&amp;A2)</f>
        <v>Indicator 5a – Indicator 5b</v>
      </c>
      <c r="B42" s="3"/>
      <c r="C42" s="82" t="s">
        <v>162</v>
      </c>
      <c r="D42" s="83"/>
      <c r="E42" s="83"/>
      <c r="F42" s="83"/>
      <c r="G42" s="83"/>
      <c r="H42" s="83"/>
      <c r="I42" s="83"/>
      <c r="J42" s="83"/>
      <c r="K42" s="83"/>
      <c r="L42" s="83"/>
      <c r="M42" s="83"/>
      <c r="N42" s="83"/>
      <c r="O42" s="3"/>
      <c r="P42" s="3"/>
      <c r="Q42" s="3"/>
      <c r="R42" s="3"/>
      <c r="S42" s="3"/>
      <c r="T42" s="3"/>
      <c r="U42" s="3"/>
      <c r="V42" s="3"/>
      <c r="W42" s="3"/>
      <c r="X42" s="3"/>
      <c r="Y42" s="3"/>
      <c r="Z42" s="3"/>
      <c r="AA42" s="3"/>
      <c r="AB42" s="3"/>
      <c r="AC42" s="3"/>
      <c r="AD42" s="3"/>
      <c r="AE42" s="3"/>
      <c r="AF42" s="3"/>
      <c r="AG42" s="3"/>
      <c r="AH42" s="3"/>
      <c r="AI42" s="3"/>
      <c r="AJ42" s="3"/>
      <c r="AK42" s="3"/>
      <c r="AL42" s="3"/>
    </row>
    <row r="43" spans="1:38" ht="283" customHeight="1" x14ac:dyDescent="0.2">
      <c r="A43" s="33" t="str">
        <f>(A3&amp;" – "&amp;A4)</f>
        <v>Indicator 6a – Indicator 6b</v>
      </c>
      <c r="B43" s="3"/>
      <c r="C43" s="82" t="s">
        <v>451</v>
      </c>
      <c r="D43" s="83"/>
      <c r="E43" s="83"/>
      <c r="F43" s="83"/>
      <c r="G43" s="83"/>
      <c r="H43" s="83"/>
      <c r="I43" s="83"/>
      <c r="J43" s="83"/>
      <c r="K43" s="83"/>
      <c r="L43" s="83"/>
      <c r="M43" s="83"/>
      <c r="N43" s="83"/>
      <c r="O43" s="3"/>
      <c r="P43" s="3"/>
      <c r="Q43" s="3"/>
      <c r="R43" s="3"/>
      <c r="S43" s="3"/>
      <c r="T43" s="3"/>
      <c r="U43" s="3"/>
      <c r="V43" s="3"/>
      <c r="W43" s="3"/>
      <c r="X43" s="3"/>
      <c r="Y43" s="3"/>
      <c r="Z43" s="3"/>
      <c r="AA43" s="3"/>
      <c r="AB43" s="3"/>
      <c r="AC43" s="3"/>
      <c r="AD43" s="3"/>
      <c r="AE43" s="3"/>
      <c r="AF43" s="3"/>
      <c r="AG43" s="3"/>
      <c r="AH43" s="3"/>
      <c r="AI43" s="3"/>
      <c r="AJ43" s="3"/>
      <c r="AK43" s="3"/>
      <c r="AL43" s="3"/>
    </row>
    <row r="44" spans="1:38" ht="15" customHeight="1" x14ac:dyDescent="0.2">
      <c r="A44" s="3"/>
      <c r="B44" s="3"/>
      <c r="C44" s="32"/>
      <c r="D44" s="32"/>
      <c r="E44" s="32"/>
      <c r="F44" s="32"/>
      <c r="G44" s="32"/>
      <c r="H44" s="32"/>
      <c r="I44" s="32"/>
      <c r="J44" s="32"/>
      <c r="K44" s="32"/>
      <c r="L44" s="32"/>
      <c r="M44" s="32"/>
      <c r="N44" s="32"/>
      <c r="O44" s="3"/>
      <c r="P44" s="3"/>
      <c r="Q44" s="3"/>
      <c r="R44" s="3"/>
      <c r="S44" s="3"/>
      <c r="T44" s="3"/>
      <c r="U44" s="3"/>
      <c r="V44" s="3"/>
      <c r="W44" s="3"/>
      <c r="X44" s="3"/>
      <c r="Y44" s="3"/>
      <c r="Z44" s="3"/>
      <c r="AA44" s="3"/>
      <c r="AB44" s="3"/>
      <c r="AC44" s="3"/>
      <c r="AD44" s="3"/>
      <c r="AE44" s="3"/>
      <c r="AF44" s="3"/>
      <c r="AG44" s="3"/>
      <c r="AH44" s="3"/>
      <c r="AI44" s="3"/>
      <c r="AJ44" s="3"/>
      <c r="AK44" s="3"/>
      <c r="AL44" s="3"/>
    </row>
    <row r="45" spans="1:38" ht="15.7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row>
    <row r="46" spans="1:38"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row>
    <row r="47" spans="1:38"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row>
    <row r="48" spans="1:38"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row>
    <row r="49" spans="1:38"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row>
    <row r="50" spans="1:38"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row>
    <row r="51" spans="1:38"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row>
    <row r="52" spans="1:38"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row>
    <row r="53" spans="1:38"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row>
    <row r="54" spans="1:38"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row>
    <row r="55" spans="1:38"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row>
    <row r="56" spans="1:38"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row>
    <row r="57" spans="1:38"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row>
    <row r="58" spans="1:38"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row>
    <row r="59" spans="1:38"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row>
    <row r="60" spans="1:38"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row>
    <row r="61" spans="1:38"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row>
    <row r="62" spans="1:38"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row>
    <row r="63" spans="1:38"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row>
    <row r="64" spans="1:38"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row>
    <row r="65" spans="1:38"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row>
    <row r="66" spans="1:38"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row>
    <row r="67" spans="1:38"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row>
    <row r="68" spans="1:38"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row>
    <row r="69" spans="1:38"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row>
    <row r="70" spans="1:38"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row>
    <row r="71" spans="1:38" ht="15.7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row>
    <row r="72" spans="1:38" ht="15.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row>
    <row r="73" spans="1:38"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row>
    <row r="74" spans="1:38"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row>
    <row r="75" spans="1:38"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row>
    <row r="76" spans="1:38"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row>
    <row r="77" spans="1:38"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row>
    <row r="78" spans="1:38"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row>
    <row r="79" spans="1:38"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row>
    <row r="80" spans="1:38"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row>
    <row r="81" spans="1:38"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row>
    <row r="82" spans="1:38"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row>
    <row r="83" spans="1:38"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row>
    <row r="84" spans="1:38"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row>
    <row r="85" spans="1:38"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row>
    <row r="86" spans="1:38"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row>
    <row r="87" spans="1:38"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row>
    <row r="88" spans="1:38"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row>
    <row r="89" spans="1:38"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row>
    <row r="90" spans="1:38"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row>
    <row r="91" spans="1:38"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row>
    <row r="92" spans="1:38"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row>
    <row r="93" spans="1:38"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row>
    <row r="94" spans="1:38"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row>
    <row r="95" spans="1:38"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row>
    <row r="96" spans="1:38"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row>
    <row r="97" spans="1:38"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row>
    <row r="98" spans="1:38"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row>
    <row r="99" spans="1:38"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row>
    <row r="100" spans="1:38"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row>
    <row r="101" spans="1:38"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row>
    <row r="102" spans="1:38"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row>
    <row r="103" spans="1:38"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row>
    <row r="104" spans="1:38"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row>
    <row r="105" spans="1:38"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row>
    <row r="106" spans="1:38"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row>
    <row r="107" spans="1:38"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row>
    <row r="108" spans="1:38"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row>
    <row r="109" spans="1:38"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row>
    <row r="110" spans="1:38"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row>
    <row r="111" spans="1:38"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row>
    <row r="112" spans="1:38"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row>
    <row r="113" spans="1:38"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row>
    <row r="114" spans="1:38"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row>
    <row r="115" spans="1:38"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row>
    <row r="116" spans="1:38"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row>
    <row r="117" spans="1:38"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row>
    <row r="118" spans="1:38"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row>
    <row r="119" spans="1:38"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row>
    <row r="120" spans="1:38"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row>
    <row r="121" spans="1:38"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row>
    <row r="122" spans="1:38"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row>
    <row r="123" spans="1:38"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row>
    <row r="124" spans="1:38"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row>
    <row r="125" spans="1:38"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row>
    <row r="126" spans="1:38"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row>
    <row r="127" spans="1:38"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row>
    <row r="128" spans="1:38"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row>
    <row r="129" spans="1:38"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row>
    <row r="130" spans="1:38"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row>
    <row r="131" spans="1:38"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row>
    <row r="132" spans="1:38"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row>
    <row r="133" spans="1:38"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row>
    <row r="134" spans="1:38"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row>
    <row r="135" spans="1:38"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row>
    <row r="136" spans="1:38"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row>
    <row r="137" spans="1:38"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row>
    <row r="138" spans="1:38"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row>
    <row r="139" spans="1:38"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row>
    <row r="140" spans="1:38"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row>
    <row r="141" spans="1:38"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row>
    <row r="142" spans="1:38"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row>
    <row r="143" spans="1:38"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row>
    <row r="144" spans="1:38"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row>
    <row r="145" spans="1:38"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row>
    <row r="146" spans="1:38"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row>
    <row r="147" spans="1:38"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row>
    <row r="148" spans="1:38"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row>
    <row r="149" spans="1:38"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row>
    <row r="150" spans="1:38"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row>
    <row r="151" spans="1:38"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row>
    <row r="152" spans="1:38"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row>
    <row r="153" spans="1:38"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row>
    <row r="154" spans="1:38"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row>
    <row r="155" spans="1:38"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row>
    <row r="156" spans="1:38"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row>
    <row r="157" spans="1:38"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row>
    <row r="158" spans="1:38"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row>
    <row r="159" spans="1:38"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row>
    <row r="160" spans="1:38"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row>
    <row r="161" spans="1:38"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row>
    <row r="162" spans="1:38"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row>
    <row r="163" spans="1:38"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row>
    <row r="164" spans="1:38"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row>
    <row r="165" spans="1:38"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row>
    <row r="166" spans="1:38"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row>
    <row r="167" spans="1:38"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row>
    <row r="168" spans="1:38"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row>
    <row r="169" spans="1:38"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row>
    <row r="170" spans="1:38"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row>
    <row r="171" spans="1:38"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row>
    <row r="172" spans="1:38"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row>
    <row r="173" spans="1:38"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row>
    <row r="174" spans="1:38"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row>
    <row r="175" spans="1:38"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row>
    <row r="176" spans="1:38"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row>
    <row r="177" spans="1:38"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row>
    <row r="178" spans="1:38"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row>
    <row r="179" spans="1:38"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row>
    <row r="180" spans="1:38"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row>
    <row r="181" spans="1:38"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row>
    <row r="182" spans="1:38"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row>
    <row r="183" spans="1:38"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row>
    <row r="184" spans="1:38"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row>
    <row r="185" spans="1:38"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row>
    <row r="186" spans="1:38"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row>
    <row r="187" spans="1:38"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row>
    <row r="188" spans="1:38"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row>
    <row r="189" spans="1:38"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row>
    <row r="190" spans="1:38"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row>
    <row r="191" spans="1:38"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row>
    <row r="192" spans="1:38"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row>
    <row r="193" spans="1:38"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row>
    <row r="194" spans="1:38"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row>
    <row r="195" spans="1:38"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row>
    <row r="196" spans="1:38"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row>
    <row r="197" spans="1:38"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row>
    <row r="198" spans="1:38"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row>
    <row r="199" spans="1:38"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row>
    <row r="200" spans="1:38"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row>
    <row r="201" spans="1:38"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row>
    <row r="202" spans="1:38"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row>
    <row r="203" spans="1:38"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row>
    <row r="204" spans="1:38"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row>
    <row r="205" spans="1:38"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row>
    <row r="206" spans="1:38"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row>
    <row r="207" spans="1:38"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row>
    <row r="208" spans="1:38"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row>
    <row r="209" spans="1:38"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row>
    <row r="210" spans="1:38"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row>
    <row r="211" spans="1:38"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row>
    <row r="212" spans="1:38"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row>
    <row r="213" spans="1:38"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row>
    <row r="214" spans="1:38"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row>
    <row r="215" spans="1:38"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row>
    <row r="216" spans="1:38"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row>
    <row r="217" spans="1:38"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row>
    <row r="218" spans="1:38"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row>
    <row r="219" spans="1:38"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row>
    <row r="220" spans="1:38"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row>
    <row r="221" spans="1:38"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row>
    <row r="222" spans="1:38"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row>
    <row r="223" spans="1:38"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row>
    <row r="224" spans="1:38"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row>
    <row r="225" spans="1:38"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row>
    <row r="226" spans="1:38"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row>
    <row r="227" spans="1:38"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row>
    <row r="228" spans="1:38"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row>
    <row r="229" spans="1:38"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row>
    <row r="230" spans="1:38"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row>
    <row r="231" spans="1:38"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row>
    <row r="232" spans="1:38"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row>
    <row r="233" spans="1:38"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row>
    <row r="234" spans="1:38"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row>
    <row r="235" spans="1:38" ht="15.75" customHeight="1" x14ac:dyDescent="0.2"/>
    <row r="236" spans="1:38" ht="15.75" customHeight="1" x14ac:dyDescent="0.2"/>
    <row r="237" spans="1:38" ht="15.75" customHeight="1" x14ac:dyDescent="0.2"/>
    <row r="238" spans="1:38" ht="15.75" customHeight="1" x14ac:dyDescent="0.2"/>
    <row r="239" spans="1:38" ht="15.75" customHeight="1" x14ac:dyDescent="0.2"/>
    <row r="240" spans="1:38"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sheetData>
  <mergeCells count="6">
    <mergeCell ref="C43:N43"/>
    <mergeCell ref="C18:T18"/>
    <mergeCell ref="C31:N31"/>
    <mergeCell ref="C35:N35"/>
    <mergeCell ref="C39:N39"/>
    <mergeCell ref="C42:N42"/>
  </mergeCells>
  <pageMargins left="0.7" right="0.7" top="0.75" bottom="0.75" header="0" footer="0"/>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sheetPr>
  <dimension ref="A1:AL994"/>
  <sheetViews>
    <sheetView showGridLines="0" zoomScale="120" zoomScaleNormal="120" workbookViewId="0">
      <selection activeCell="C20" sqref="C20:J22"/>
    </sheetView>
  </sheetViews>
  <sheetFormatPr baseColWidth="10" defaultColWidth="14.5" defaultRowHeight="15" customHeight="1" x14ac:dyDescent="0.2"/>
  <cols>
    <col min="1" max="1" width="51.6640625" customWidth="1"/>
    <col min="2" max="2" width="1.33203125" customWidth="1"/>
    <col min="3" max="27" width="9.1640625" customWidth="1"/>
    <col min="28" max="34" width="9.33203125" customWidth="1"/>
    <col min="35" max="35" width="10.6640625" bestFit="1" customWidth="1"/>
    <col min="36" max="36" width="11" bestFit="1" customWidth="1"/>
    <col min="37" max="37" width="10.6640625" bestFit="1" customWidth="1"/>
    <col min="38" max="38" width="11" bestFit="1" customWidth="1"/>
  </cols>
  <sheetData>
    <row r="1" spans="1:38" ht="31.5" customHeight="1" x14ac:dyDescent="0.2">
      <c r="A1" s="10" t="s">
        <v>163</v>
      </c>
      <c r="B1" s="10"/>
      <c r="C1" s="11" t="s">
        <v>164</v>
      </c>
      <c r="D1" s="10"/>
      <c r="E1" s="10"/>
      <c r="F1" s="10"/>
      <c r="G1" s="10"/>
      <c r="H1" s="10"/>
      <c r="I1" s="10"/>
      <c r="J1" s="10"/>
      <c r="K1" s="10"/>
      <c r="L1" s="10"/>
      <c r="M1" s="10"/>
      <c r="N1" s="10"/>
      <c r="O1" s="10"/>
      <c r="P1" s="10"/>
      <c r="Q1" s="10"/>
      <c r="R1" s="10"/>
      <c r="S1" s="10"/>
      <c r="T1" s="10"/>
      <c r="U1" s="3"/>
      <c r="V1" s="3"/>
      <c r="W1" s="3"/>
      <c r="X1" s="3"/>
      <c r="Y1" s="3"/>
      <c r="Z1" s="3"/>
      <c r="AA1" s="3"/>
      <c r="AB1" s="3"/>
      <c r="AC1" s="3"/>
      <c r="AD1" s="3"/>
      <c r="AE1" s="3"/>
      <c r="AF1" s="3"/>
      <c r="AG1" s="3"/>
      <c r="AH1" s="3"/>
      <c r="AI1" s="3"/>
      <c r="AJ1" s="3"/>
      <c r="AK1" s="3"/>
      <c r="AL1" s="3"/>
    </row>
    <row r="2" spans="1:38" ht="31.5" customHeight="1" x14ac:dyDescent="0.2">
      <c r="A2" s="10" t="s">
        <v>165</v>
      </c>
      <c r="B2" s="10"/>
      <c r="C2" s="11" t="s">
        <v>166</v>
      </c>
      <c r="D2" s="10"/>
      <c r="E2" s="10"/>
      <c r="F2" s="10"/>
      <c r="G2" s="10"/>
      <c r="H2" s="10"/>
      <c r="I2" s="10"/>
      <c r="J2" s="10"/>
      <c r="K2" s="10"/>
      <c r="L2" s="10"/>
      <c r="M2" s="10"/>
      <c r="N2" s="10"/>
      <c r="O2" s="10"/>
      <c r="P2" s="10"/>
      <c r="Q2" s="10"/>
      <c r="R2" s="10"/>
      <c r="S2" s="10"/>
      <c r="T2" s="10"/>
      <c r="U2" s="3"/>
      <c r="V2" s="3"/>
      <c r="W2" s="3"/>
      <c r="X2" s="3"/>
      <c r="Y2" s="3"/>
      <c r="Z2" s="3"/>
      <c r="AA2" s="3"/>
      <c r="AB2" s="3"/>
      <c r="AC2" s="3"/>
      <c r="AD2" s="3"/>
      <c r="AE2" s="3"/>
      <c r="AF2" s="3"/>
      <c r="AG2" s="3"/>
      <c r="AH2" s="3"/>
      <c r="AI2" s="3"/>
      <c r="AJ2" s="3"/>
      <c r="AK2" s="3"/>
      <c r="AL2" s="3"/>
    </row>
    <row r="3" spans="1:38" ht="31.5" customHeight="1" x14ac:dyDescent="0.2">
      <c r="A3" s="10" t="s">
        <v>167</v>
      </c>
      <c r="B3" s="10"/>
      <c r="C3" s="11" t="s">
        <v>168</v>
      </c>
      <c r="D3" s="10"/>
      <c r="E3" s="10"/>
      <c r="F3" s="10"/>
      <c r="G3" s="10"/>
      <c r="H3" s="10"/>
      <c r="I3" s="10"/>
      <c r="J3" s="10"/>
      <c r="K3" s="10"/>
      <c r="L3" s="10"/>
      <c r="M3" s="10"/>
      <c r="N3" s="10"/>
      <c r="O3" s="10"/>
      <c r="P3" s="10"/>
      <c r="Q3" s="10"/>
      <c r="R3" s="10"/>
      <c r="S3" s="10"/>
      <c r="T3" s="10"/>
      <c r="U3" s="3"/>
      <c r="V3" s="3"/>
      <c r="W3" s="3"/>
      <c r="X3" s="3"/>
      <c r="Y3" s="3"/>
      <c r="Z3" s="3"/>
      <c r="AA3" s="3"/>
      <c r="AB3" s="3"/>
      <c r="AC3" s="3"/>
      <c r="AD3" s="3"/>
      <c r="AE3" s="3"/>
      <c r="AF3" s="3"/>
      <c r="AG3" s="3"/>
      <c r="AH3" s="3"/>
      <c r="AI3" s="3"/>
      <c r="AJ3" s="3"/>
      <c r="AK3" s="3"/>
      <c r="AL3" s="3"/>
    </row>
    <row r="4" spans="1:38" ht="31.5" customHeight="1" x14ac:dyDescent="0.2">
      <c r="A4" s="10" t="s">
        <v>169</v>
      </c>
      <c r="B4" s="10"/>
      <c r="C4" s="11" t="s">
        <v>170</v>
      </c>
      <c r="D4" s="10"/>
      <c r="E4" s="10"/>
      <c r="F4" s="10"/>
      <c r="G4" s="10"/>
      <c r="H4" s="10"/>
      <c r="I4" s="10"/>
      <c r="J4" s="10"/>
      <c r="K4" s="10"/>
      <c r="L4" s="10"/>
      <c r="M4" s="10"/>
      <c r="N4" s="10"/>
      <c r="O4" s="10"/>
      <c r="P4" s="10"/>
      <c r="Q4" s="10"/>
      <c r="R4" s="10"/>
      <c r="S4" s="10"/>
      <c r="T4" s="10"/>
      <c r="U4" s="3"/>
      <c r="V4" s="3"/>
      <c r="W4" s="3"/>
      <c r="X4" s="3"/>
      <c r="Y4" s="3"/>
      <c r="Z4" s="3"/>
      <c r="AA4" s="3"/>
      <c r="AB4" s="3"/>
      <c r="AC4" s="3"/>
      <c r="AD4" s="3"/>
      <c r="AE4" s="3"/>
      <c r="AF4" s="3"/>
      <c r="AG4" s="3"/>
      <c r="AH4" s="3"/>
      <c r="AI4" s="3"/>
      <c r="AJ4" s="3"/>
      <c r="AK4" s="3"/>
      <c r="AL4" s="3"/>
    </row>
    <row r="5" spans="1:38" ht="31.5" customHeight="1" x14ac:dyDescent="0.25">
      <c r="A5" s="12"/>
      <c r="B5" s="3"/>
      <c r="C5" s="13"/>
      <c r="D5" s="14"/>
      <c r="E5" s="14"/>
      <c r="F5" s="14"/>
      <c r="G5" s="14"/>
      <c r="H5" s="14"/>
      <c r="I5" s="14"/>
      <c r="J5" s="14"/>
      <c r="K5" s="14"/>
      <c r="L5" s="14"/>
      <c r="M5" s="14"/>
      <c r="N5" s="14"/>
      <c r="O5" s="3"/>
      <c r="P5" s="3"/>
      <c r="Q5" s="3"/>
      <c r="R5" s="3"/>
      <c r="S5" s="3"/>
      <c r="T5" s="3"/>
      <c r="U5" s="3"/>
      <c r="V5" s="3"/>
      <c r="W5" s="3"/>
      <c r="X5" s="3"/>
      <c r="Y5" s="3"/>
      <c r="Z5" s="3"/>
      <c r="AA5" s="3"/>
      <c r="AB5" s="3"/>
      <c r="AC5" s="3"/>
      <c r="AD5" s="3"/>
      <c r="AE5" s="3"/>
      <c r="AF5" s="3"/>
      <c r="AG5" s="3"/>
      <c r="AH5" s="3"/>
      <c r="AI5" s="3"/>
      <c r="AJ5" s="3"/>
      <c r="AK5" s="3"/>
      <c r="AL5" s="3"/>
    </row>
    <row r="6" spans="1:38" ht="19" x14ac:dyDescent="0.25">
      <c r="A6" s="15" t="s">
        <v>61</v>
      </c>
      <c r="B6" s="3"/>
      <c r="C6" s="13"/>
      <c r="D6" s="14"/>
      <c r="E6" s="14"/>
      <c r="F6" s="14"/>
      <c r="G6" s="14"/>
      <c r="H6" s="14"/>
      <c r="I6" s="14"/>
      <c r="J6" s="14"/>
      <c r="K6" s="14"/>
      <c r="L6" s="14"/>
      <c r="M6" s="14"/>
      <c r="N6" s="14"/>
      <c r="O6" s="3"/>
      <c r="P6" s="3"/>
      <c r="Q6" s="3"/>
      <c r="R6" s="3"/>
      <c r="S6" s="3"/>
      <c r="T6" s="3"/>
      <c r="U6" s="3"/>
      <c r="V6" s="3"/>
      <c r="W6" s="3"/>
      <c r="X6" s="3"/>
      <c r="Y6" s="3"/>
      <c r="Z6" s="3"/>
      <c r="AA6" s="3"/>
      <c r="AB6" s="3"/>
      <c r="AC6" s="3"/>
      <c r="AD6" s="3"/>
      <c r="AE6" s="3"/>
      <c r="AF6" s="3"/>
      <c r="AG6" s="3"/>
      <c r="AH6" s="3"/>
      <c r="AI6" s="3"/>
      <c r="AJ6" s="3"/>
      <c r="AK6" s="3"/>
      <c r="AL6" s="3"/>
    </row>
    <row r="7" spans="1:38" ht="16" x14ac:dyDescent="0.2">
      <c r="A7" s="16" t="str">
        <f>(A1&amp;" - "&amp;A2)</f>
        <v>Indicator 8a - Indicator 8b</v>
      </c>
      <c r="B7" s="3"/>
      <c r="C7" s="17" t="s">
        <v>62</v>
      </c>
      <c r="D7" s="17" t="s">
        <v>63</v>
      </c>
      <c r="E7" s="17" t="s">
        <v>64</v>
      </c>
      <c r="F7" s="17" t="s">
        <v>65</v>
      </c>
      <c r="G7" s="17" t="s">
        <v>62</v>
      </c>
      <c r="H7" s="17" t="s">
        <v>63</v>
      </c>
      <c r="I7" s="17" t="s">
        <v>64</v>
      </c>
      <c r="J7" s="17" t="s">
        <v>65</v>
      </c>
      <c r="K7" s="17" t="s">
        <v>62</v>
      </c>
      <c r="L7" s="17" t="s">
        <v>63</v>
      </c>
      <c r="M7" s="17" t="s">
        <v>64</v>
      </c>
      <c r="N7" s="17" t="s">
        <v>65</v>
      </c>
      <c r="O7" s="17" t="s">
        <v>62</v>
      </c>
      <c r="P7" s="17" t="s">
        <v>63</v>
      </c>
      <c r="Q7" s="17" t="s">
        <v>64</v>
      </c>
      <c r="R7" s="17" t="s">
        <v>65</v>
      </c>
      <c r="S7" s="17" t="s">
        <v>62</v>
      </c>
      <c r="T7" s="17" t="s">
        <v>63</v>
      </c>
      <c r="U7" s="17" t="s">
        <v>64</v>
      </c>
      <c r="V7" s="17" t="s">
        <v>65</v>
      </c>
      <c r="W7" s="17" t="s">
        <v>62</v>
      </c>
      <c r="X7" s="17" t="s">
        <v>63</v>
      </c>
      <c r="Y7" s="17" t="s">
        <v>64</v>
      </c>
      <c r="Z7" s="17" t="s">
        <v>65</v>
      </c>
      <c r="AA7" s="17" t="s">
        <v>62</v>
      </c>
      <c r="AB7" s="17" t="s">
        <v>63</v>
      </c>
      <c r="AC7" s="17" t="s">
        <v>64</v>
      </c>
      <c r="AD7" s="17" t="s">
        <v>65</v>
      </c>
      <c r="AE7" s="17" t="s">
        <v>62</v>
      </c>
      <c r="AF7" s="17" t="s">
        <v>63</v>
      </c>
      <c r="AG7" s="17" t="s">
        <v>64</v>
      </c>
      <c r="AH7" s="17" t="s">
        <v>65</v>
      </c>
      <c r="AI7" s="58" t="s">
        <v>62</v>
      </c>
      <c r="AJ7" s="58" t="s">
        <v>63</v>
      </c>
      <c r="AK7" s="58" t="s">
        <v>64</v>
      </c>
      <c r="AL7" s="58" t="s">
        <v>65</v>
      </c>
    </row>
    <row r="8" spans="1:38" ht="26" x14ac:dyDescent="0.2">
      <c r="A8" s="16"/>
      <c r="B8" s="3"/>
      <c r="C8" s="17" t="s">
        <v>385</v>
      </c>
      <c r="D8" s="17" t="s">
        <v>386</v>
      </c>
      <c r="E8" s="17" t="s">
        <v>387</v>
      </c>
      <c r="F8" s="17" t="s">
        <v>388</v>
      </c>
      <c r="G8" s="17" t="s">
        <v>66</v>
      </c>
      <c r="H8" s="17" t="s">
        <v>67</v>
      </c>
      <c r="I8" s="17" t="s">
        <v>68</v>
      </c>
      <c r="J8" s="17" t="s">
        <v>69</v>
      </c>
      <c r="K8" s="17" t="s">
        <v>70</v>
      </c>
      <c r="L8" s="17" t="s">
        <v>71</v>
      </c>
      <c r="M8" s="17" t="s">
        <v>72</v>
      </c>
      <c r="N8" s="17" t="s">
        <v>73</v>
      </c>
      <c r="O8" s="17" t="s">
        <v>74</v>
      </c>
      <c r="P8" s="17" t="s">
        <v>75</v>
      </c>
      <c r="Q8" s="17" t="s">
        <v>76</v>
      </c>
      <c r="R8" s="17" t="s">
        <v>77</v>
      </c>
      <c r="S8" s="58" t="s">
        <v>321</v>
      </c>
      <c r="T8" s="17" t="s">
        <v>322</v>
      </c>
      <c r="U8" s="17" t="s">
        <v>323</v>
      </c>
      <c r="V8" s="17" t="s">
        <v>324</v>
      </c>
      <c r="W8" s="58" t="s">
        <v>325</v>
      </c>
      <c r="X8" s="17" t="s">
        <v>326</v>
      </c>
      <c r="Y8" s="17" t="s">
        <v>327</v>
      </c>
      <c r="Z8" s="17" t="s">
        <v>328</v>
      </c>
      <c r="AA8" s="17" t="s">
        <v>329</v>
      </c>
      <c r="AB8" s="17" t="s">
        <v>330</v>
      </c>
      <c r="AC8" s="17" t="s">
        <v>331</v>
      </c>
      <c r="AD8" s="17" t="s">
        <v>332</v>
      </c>
      <c r="AE8" s="17" t="s">
        <v>333</v>
      </c>
      <c r="AF8" s="17" t="s">
        <v>334</v>
      </c>
      <c r="AG8" s="17" t="s">
        <v>335</v>
      </c>
      <c r="AH8" s="17" t="s">
        <v>336</v>
      </c>
      <c r="AI8" s="17" t="s">
        <v>337</v>
      </c>
      <c r="AJ8" s="17" t="s">
        <v>338</v>
      </c>
      <c r="AK8" s="17" t="s">
        <v>339</v>
      </c>
      <c r="AL8" s="17" t="s">
        <v>340</v>
      </c>
    </row>
    <row r="9" spans="1:38" ht="31.5" customHeight="1" x14ac:dyDescent="0.2">
      <c r="A9" s="18" t="s">
        <v>171</v>
      </c>
      <c r="B9" s="3"/>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row>
    <row r="10" spans="1:38" ht="31.5" customHeight="1" x14ac:dyDescent="0.2">
      <c r="A10" s="18" t="s">
        <v>172</v>
      </c>
      <c r="B10" s="3"/>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row>
    <row r="11" spans="1:38" x14ac:dyDescent="0.2">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row>
    <row r="12" spans="1:38" ht="16" x14ac:dyDescent="0.2">
      <c r="A12" s="16" t="str">
        <f>A3</f>
        <v>Indicator 9a</v>
      </c>
      <c r="B12" s="3"/>
      <c r="C12" s="17" t="s">
        <v>62</v>
      </c>
      <c r="D12" s="17" t="s">
        <v>63</v>
      </c>
      <c r="E12" s="17" t="s">
        <v>64</v>
      </c>
      <c r="F12" s="17" t="s">
        <v>65</v>
      </c>
      <c r="G12" s="17" t="s">
        <v>62</v>
      </c>
      <c r="H12" s="17" t="s">
        <v>63</v>
      </c>
      <c r="I12" s="17" t="s">
        <v>64</v>
      </c>
      <c r="J12" s="17" t="s">
        <v>65</v>
      </c>
      <c r="K12" s="17" t="s">
        <v>62</v>
      </c>
      <c r="L12" s="17" t="s">
        <v>63</v>
      </c>
      <c r="M12" s="17" t="s">
        <v>64</v>
      </c>
      <c r="N12" s="17" t="s">
        <v>65</v>
      </c>
      <c r="O12" s="17" t="s">
        <v>62</v>
      </c>
      <c r="P12" s="17" t="s">
        <v>63</v>
      </c>
      <c r="Q12" s="17" t="s">
        <v>64</v>
      </c>
      <c r="R12" s="17" t="s">
        <v>65</v>
      </c>
      <c r="S12" s="17" t="s">
        <v>62</v>
      </c>
      <c r="T12" s="17" t="s">
        <v>63</v>
      </c>
      <c r="U12" s="17" t="s">
        <v>64</v>
      </c>
      <c r="V12" s="17" t="s">
        <v>65</v>
      </c>
      <c r="W12" s="17" t="s">
        <v>62</v>
      </c>
      <c r="X12" s="17" t="s">
        <v>63</v>
      </c>
      <c r="Y12" s="17" t="s">
        <v>64</v>
      </c>
      <c r="Z12" s="17" t="s">
        <v>65</v>
      </c>
      <c r="AA12" s="17" t="s">
        <v>62</v>
      </c>
      <c r="AB12" s="17" t="s">
        <v>63</v>
      </c>
      <c r="AC12" s="17" t="s">
        <v>64</v>
      </c>
      <c r="AD12" s="17" t="s">
        <v>65</v>
      </c>
      <c r="AE12" s="17" t="s">
        <v>62</v>
      </c>
      <c r="AF12" s="17" t="s">
        <v>63</v>
      </c>
      <c r="AG12" s="17" t="s">
        <v>64</v>
      </c>
      <c r="AH12" s="17" t="s">
        <v>65</v>
      </c>
      <c r="AI12" s="58" t="s">
        <v>62</v>
      </c>
      <c r="AJ12" s="58" t="s">
        <v>63</v>
      </c>
      <c r="AK12" s="58" t="s">
        <v>64</v>
      </c>
      <c r="AL12" s="58" t="s">
        <v>65</v>
      </c>
    </row>
    <row r="13" spans="1:38" ht="26" x14ac:dyDescent="0.2">
      <c r="A13" s="16"/>
      <c r="B13" s="3"/>
      <c r="C13" s="17" t="s">
        <v>385</v>
      </c>
      <c r="D13" s="17" t="s">
        <v>386</v>
      </c>
      <c r="E13" s="17" t="s">
        <v>387</v>
      </c>
      <c r="F13" s="17" t="s">
        <v>388</v>
      </c>
      <c r="G13" s="17" t="s">
        <v>66</v>
      </c>
      <c r="H13" s="17" t="s">
        <v>67</v>
      </c>
      <c r="I13" s="17" t="s">
        <v>68</v>
      </c>
      <c r="J13" s="17" t="s">
        <v>69</v>
      </c>
      <c r="K13" s="17" t="s">
        <v>70</v>
      </c>
      <c r="L13" s="17" t="s">
        <v>71</v>
      </c>
      <c r="M13" s="17" t="s">
        <v>72</v>
      </c>
      <c r="N13" s="17" t="s">
        <v>73</v>
      </c>
      <c r="O13" s="17" t="s">
        <v>74</v>
      </c>
      <c r="P13" s="17" t="s">
        <v>75</v>
      </c>
      <c r="Q13" s="17" t="s">
        <v>76</v>
      </c>
      <c r="R13" s="17" t="s">
        <v>77</v>
      </c>
      <c r="S13" s="58" t="s">
        <v>321</v>
      </c>
      <c r="T13" s="17" t="s">
        <v>322</v>
      </c>
      <c r="U13" s="17" t="s">
        <v>323</v>
      </c>
      <c r="V13" s="17" t="s">
        <v>324</v>
      </c>
      <c r="W13" s="58" t="s">
        <v>325</v>
      </c>
      <c r="X13" s="17" t="s">
        <v>326</v>
      </c>
      <c r="Y13" s="17" t="s">
        <v>327</v>
      </c>
      <c r="Z13" s="17" t="s">
        <v>328</v>
      </c>
      <c r="AA13" s="17" t="s">
        <v>329</v>
      </c>
      <c r="AB13" s="17" t="s">
        <v>330</v>
      </c>
      <c r="AC13" s="17" t="s">
        <v>331</v>
      </c>
      <c r="AD13" s="17" t="s">
        <v>332</v>
      </c>
      <c r="AE13" s="17" t="s">
        <v>333</v>
      </c>
      <c r="AF13" s="17" t="s">
        <v>334</v>
      </c>
      <c r="AG13" s="17" t="s">
        <v>335</v>
      </c>
      <c r="AH13" s="17" t="s">
        <v>336</v>
      </c>
      <c r="AI13" s="17" t="s">
        <v>337</v>
      </c>
      <c r="AJ13" s="17" t="s">
        <v>338</v>
      </c>
      <c r="AK13" s="17" t="s">
        <v>339</v>
      </c>
      <c r="AL13" s="17" t="s">
        <v>340</v>
      </c>
    </row>
    <row r="14" spans="1:38" ht="16" x14ac:dyDescent="0.2">
      <c r="A14" s="18" t="s">
        <v>173</v>
      </c>
      <c r="B14" s="3"/>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row>
    <row r="15" spans="1:38" ht="16" x14ac:dyDescent="0.2">
      <c r="A15" s="18" t="s">
        <v>174</v>
      </c>
      <c r="B15" s="3"/>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row>
    <row r="16" spans="1:38" ht="16" x14ac:dyDescent="0.2">
      <c r="A16" s="18" t="s">
        <v>175</v>
      </c>
      <c r="B16" s="3"/>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row>
    <row r="17" spans="1:38" x14ac:dyDescent="0.2">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42"/>
      <c r="AJ17" s="42"/>
      <c r="AK17" s="42"/>
      <c r="AL17" s="42"/>
    </row>
    <row r="18" spans="1:38" ht="16" x14ac:dyDescent="0.2">
      <c r="A18" s="16" t="str">
        <f>A4</f>
        <v>Indicator 9b</v>
      </c>
      <c r="B18" s="3"/>
      <c r="C18" s="17" t="s">
        <v>62</v>
      </c>
      <c r="D18" s="17" t="s">
        <v>63</v>
      </c>
      <c r="E18" s="17" t="s">
        <v>64</v>
      </c>
      <c r="F18" s="17" t="s">
        <v>65</v>
      </c>
      <c r="G18" s="17" t="s">
        <v>62</v>
      </c>
      <c r="H18" s="17" t="s">
        <v>63</v>
      </c>
      <c r="I18" s="17" t="s">
        <v>64</v>
      </c>
      <c r="J18" s="17" t="s">
        <v>65</v>
      </c>
      <c r="K18" s="17" t="s">
        <v>62</v>
      </c>
      <c r="L18" s="17" t="s">
        <v>63</v>
      </c>
      <c r="M18" s="17" t="s">
        <v>64</v>
      </c>
      <c r="N18" s="17" t="s">
        <v>65</v>
      </c>
      <c r="O18" s="17" t="s">
        <v>62</v>
      </c>
      <c r="P18" s="17" t="s">
        <v>63</v>
      </c>
      <c r="Q18" s="17" t="s">
        <v>64</v>
      </c>
      <c r="R18" s="17" t="s">
        <v>65</v>
      </c>
      <c r="S18" s="17" t="s">
        <v>62</v>
      </c>
      <c r="T18" s="17" t="s">
        <v>63</v>
      </c>
      <c r="U18" s="17" t="s">
        <v>64</v>
      </c>
      <c r="V18" s="17" t="s">
        <v>65</v>
      </c>
      <c r="W18" s="17" t="s">
        <v>62</v>
      </c>
      <c r="X18" s="17" t="s">
        <v>63</v>
      </c>
      <c r="Y18" s="17" t="s">
        <v>64</v>
      </c>
      <c r="Z18" s="17" t="s">
        <v>65</v>
      </c>
      <c r="AA18" s="17" t="s">
        <v>62</v>
      </c>
      <c r="AB18" s="17" t="s">
        <v>63</v>
      </c>
      <c r="AC18" s="17" t="s">
        <v>64</v>
      </c>
      <c r="AD18" s="17" t="s">
        <v>65</v>
      </c>
      <c r="AE18" s="17" t="s">
        <v>62</v>
      </c>
      <c r="AF18" s="17" t="s">
        <v>63</v>
      </c>
      <c r="AG18" s="17" t="s">
        <v>64</v>
      </c>
      <c r="AH18" s="17" t="s">
        <v>65</v>
      </c>
      <c r="AI18" s="58" t="s">
        <v>62</v>
      </c>
      <c r="AJ18" s="58" t="s">
        <v>63</v>
      </c>
      <c r="AK18" s="58" t="s">
        <v>64</v>
      </c>
      <c r="AL18" s="58" t="s">
        <v>65</v>
      </c>
    </row>
    <row r="19" spans="1:38" ht="26" x14ac:dyDescent="0.2">
      <c r="A19" s="16"/>
      <c r="B19" s="3"/>
      <c r="C19" s="17" t="s">
        <v>385</v>
      </c>
      <c r="D19" s="17" t="s">
        <v>386</v>
      </c>
      <c r="E19" s="17" t="s">
        <v>387</v>
      </c>
      <c r="F19" s="17" t="s">
        <v>388</v>
      </c>
      <c r="G19" s="17" t="s">
        <v>66</v>
      </c>
      <c r="H19" s="17" t="s">
        <v>67</v>
      </c>
      <c r="I19" s="17" t="s">
        <v>68</v>
      </c>
      <c r="J19" s="17" t="s">
        <v>69</v>
      </c>
      <c r="K19" s="17" t="s">
        <v>70</v>
      </c>
      <c r="L19" s="17" t="s">
        <v>71</v>
      </c>
      <c r="M19" s="17" t="s">
        <v>72</v>
      </c>
      <c r="N19" s="17" t="s">
        <v>73</v>
      </c>
      <c r="O19" s="17" t="s">
        <v>74</v>
      </c>
      <c r="P19" s="17" t="s">
        <v>75</v>
      </c>
      <c r="Q19" s="17" t="s">
        <v>76</v>
      </c>
      <c r="R19" s="17" t="s">
        <v>77</v>
      </c>
      <c r="S19" s="58" t="s">
        <v>321</v>
      </c>
      <c r="T19" s="17" t="s">
        <v>322</v>
      </c>
      <c r="U19" s="17" t="s">
        <v>323</v>
      </c>
      <c r="V19" s="17" t="s">
        <v>324</v>
      </c>
      <c r="W19" s="58" t="s">
        <v>325</v>
      </c>
      <c r="X19" s="17" t="s">
        <v>326</v>
      </c>
      <c r="Y19" s="17" t="s">
        <v>327</v>
      </c>
      <c r="Z19" s="17" t="s">
        <v>328</v>
      </c>
      <c r="AA19" s="17" t="s">
        <v>329</v>
      </c>
      <c r="AB19" s="17" t="s">
        <v>330</v>
      </c>
      <c r="AC19" s="17" t="s">
        <v>331</v>
      </c>
      <c r="AD19" s="17" t="s">
        <v>332</v>
      </c>
      <c r="AE19" s="17" t="s">
        <v>333</v>
      </c>
      <c r="AF19" s="17" t="s">
        <v>334</v>
      </c>
      <c r="AG19" s="17" t="s">
        <v>335</v>
      </c>
      <c r="AH19" s="17" t="s">
        <v>336</v>
      </c>
      <c r="AI19" s="17" t="s">
        <v>337</v>
      </c>
      <c r="AJ19" s="17" t="s">
        <v>338</v>
      </c>
      <c r="AK19" s="17" t="s">
        <v>339</v>
      </c>
      <c r="AL19" s="17" t="s">
        <v>340</v>
      </c>
    </row>
    <row r="20" spans="1:38" ht="16" x14ac:dyDescent="0.2">
      <c r="A20" s="18" t="s">
        <v>173</v>
      </c>
      <c r="B20" s="3"/>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row>
    <row r="21" spans="1:38" ht="15.75" customHeight="1" x14ac:dyDescent="0.2">
      <c r="A21" s="18" t="s">
        <v>174</v>
      </c>
      <c r="B21" s="3"/>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row>
    <row r="22" spans="1:38" ht="15.75" customHeight="1" x14ac:dyDescent="0.2">
      <c r="A22" s="18" t="s">
        <v>175</v>
      </c>
      <c r="B22" s="3"/>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row>
    <row r="23" spans="1:38" ht="15.75" customHeight="1" x14ac:dyDescent="0.2">
      <c r="A23" s="3"/>
      <c r="B23" s="3"/>
      <c r="C23" s="3"/>
      <c r="D23" s="3"/>
      <c r="E23" s="3"/>
      <c r="F23" s="3"/>
      <c r="G23" s="3"/>
      <c r="H23" s="3"/>
      <c r="I23" s="3"/>
      <c r="J23" s="3"/>
      <c r="K23" s="3"/>
      <c r="L23" s="3"/>
      <c r="M23" s="3"/>
      <c r="N23" s="3"/>
      <c r="O23" s="3"/>
      <c r="P23" s="3"/>
      <c r="Q23" s="3"/>
      <c r="R23" s="3"/>
      <c r="S23" s="3"/>
      <c r="T23" s="3"/>
      <c r="U23" s="3"/>
      <c r="V23" s="3"/>
      <c r="W23" s="3"/>
      <c r="X23" s="3"/>
      <c r="Y23" s="3"/>
      <c r="Z23" s="20"/>
      <c r="AA23" s="21"/>
      <c r="AB23" s="3"/>
      <c r="AC23" s="3"/>
      <c r="AD23" s="3"/>
      <c r="AE23" s="3"/>
      <c r="AF23" s="3"/>
      <c r="AG23" s="3"/>
      <c r="AH23" s="3"/>
      <c r="AI23" s="3"/>
      <c r="AJ23" s="3"/>
      <c r="AK23" s="3"/>
      <c r="AL23" s="3"/>
    </row>
    <row r="24" spans="1:38" ht="15.75" customHeight="1" x14ac:dyDescent="0.2">
      <c r="A24" s="15" t="s">
        <v>115</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row>
    <row r="25" spans="1:38" ht="111.75" customHeight="1" x14ac:dyDescent="0.2">
      <c r="A25" s="4" t="s">
        <v>116</v>
      </c>
      <c r="B25" s="3"/>
      <c r="C25" s="85"/>
      <c r="D25" s="86"/>
      <c r="E25" s="86"/>
      <c r="F25" s="86"/>
      <c r="G25" s="86"/>
      <c r="H25" s="86"/>
      <c r="I25" s="86"/>
      <c r="J25" s="86"/>
      <c r="K25" s="86"/>
      <c r="L25" s="86"/>
      <c r="M25" s="86"/>
      <c r="N25" s="86"/>
      <c r="O25" s="86"/>
      <c r="P25" s="86"/>
      <c r="Q25" s="86"/>
      <c r="R25" s="86"/>
      <c r="S25" s="86"/>
      <c r="T25" s="87"/>
      <c r="U25" s="3"/>
      <c r="V25" s="3"/>
      <c r="W25" s="3"/>
      <c r="X25" s="3"/>
      <c r="Y25" s="3"/>
      <c r="Z25" s="3"/>
      <c r="AA25" s="3"/>
      <c r="AB25" s="3"/>
      <c r="AC25" s="3"/>
      <c r="AD25" s="3"/>
      <c r="AE25" s="3"/>
      <c r="AF25" s="3"/>
      <c r="AG25" s="3"/>
      <c r="AH25" s="3"/>
      <c r="AI25" s="3"/>
      <c r="AJ25" s="3"/>
      <c r="AK25" s="3"/>
      <c r="AL25" s="3"/>
    </row>
    <row r="26" spans="1:38" ht="31.5" customHeight="1" x14ac:dyDescent="0.2">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row>
    <row r="27" spans="1:38" ht="31.5" customHeight="1" x14ac:dyDescent="0.2">
      <c r="A27" s="15" t="s">
        <v>320</v>
      </c>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row>
    <row r="28" spans="1:38" ht="293" customHeight="1" x14ac:dyDescent="0.2">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row>
    <row r="29" spans="1:38" ht="31.5" customHeight="1" x14ac:dyDescent="0.2">
      <c r="A29" s="3"/>
      <c r="B29" s="3"/>
      <c r="C29" s="3"/>
      <c r="D29" s="3"/>
      <c r="E29" s="3"/>
      <c r="F29" s="3"/>
      <c r="G29" s="3"/>
      <c r="H29" s="3"/>
      <c r="I29" s="3"/>
      <c r="J29" s="3"/>
      <c r="K29" s="3"/>
      <c r="L29" s="3"/>
      <c r="M29" s="3"/>
      <c r="N29" s="3"/>
      <c r="O29" s="3"/>
      <c r="P29" s="3"/>
      <c r="Q29" s="3"/>
      <c r="R29" s="3"/>
      <c r="S29" s="3"/>
      <c r="T29" s="3"/>
      <c r="U29" s="3"/>
      <c r="V29" s="3"/>
      <c r="W29" s="3"/>
      <c r="X29" s="3"/>
      <c r="Y29" s="3"/>
      <c r="Z29" s="62"/>
      <c r="AA29" s="62"/>
      <c r="AB29" s="62"/>
      <c r="AC29" s="62"/>
      <c r="AD29" s="62"/>
      <c r="AE29" s="62"/>
      <c r="AF29" s="62"/>
      <c r="AG29" s="62"/>
      <c r="AH29" s="62"/>
      <c r="AI29" s="62"/>
      <c r="AJ29" s="3"/>
      <c r="AK29" s="3"/>
      <c r="AL29" s="3"/>
    </row>
    <row r="30" spans="1:38" ht="31.5" customHeight="1" x14ac:dyDescent="0.2">
      <c r="A30" s="29"/>
      <c r="B30" s="29"/>
      <c r="C30" s="29"/>
      <c r="D30" s="29"/>
      <c r="E30" s="29"/>
      <c r="F30" s="29"/>
      <c r="G30" s="29"/>
      <c r="H30" s="29"/>
      <c r="I30" s="29"/>
      <c r="J30" s="29"/>
      <c r="K30" s="29"/>
      <c r="L30" s="29"/>
      <c r="M30" s="29"/>
      <c r="N30" s="29"/>
      <c r="O30" s="29"/>
      <c r="P30" s="29"/>
      <c r="Q30" s="29"/>
      <c r="R30" s="29"/>
      <c r="S30" s="29"/>
      <c r="T30" s="29"/>
      <c r="U30" s="3"/>
      <c r="V30" s="3"/>
      <c r="W30" s="3"/>
      <c r="X30" s="3"/>
      <c r="Y30" s="3"/>
      <c r="Z30" s="62"/>
      <c r="AA30" s="62"/>
      <c r="AB30" s="62"/>
      <c r="AC30" s="62"/>
      <c r="AD30" s="62"/>
      <c r="AE30" s="62"/>
      <c r="AF30" s="62"/>
      <c r="AG30" s="62"/>
      <c r="AH30" s="62"/>
      <c r="AI30" s="62"/>
      <c r="AJ30" s="3"/>
      <c r="AK30" s="3"/>
      <c r="AL30" s="3"/>
    </row>
    <row r="31" spans="1:38" ht="17.25" customHeight="1" x14ac:dyDescent="0.2">
      <c r="A31" s="15" t="s">
        <v>117</v>
      </c>
      <c r="B31" s="3"/>
      <c r="C31" s="25"/>
      <c r="D31" s="25"/>
      <c r="E31" s="25"/>
      <c r="F31" s="25"/>
      <c r="G31" s="25"/>
      <c r="H31" s="25"/>
      <c r="I31" s="25"/>
      <c r="J31" s="25"/>
      <c r="K31" s="25"/>
      <c r="L31" s="25"/>
      <c r="M31" s="25"/>
      <c r="N31" s="25"/>
      <c r="O31" s="3"/>
      <c r="P31" s="3"/>
      <c r="Q31" s="3"/>
      <c r="R31" s="3"/>
      <c r="S31" s="3"/>
      <c r="T31" s="3"/>
      <c r="U31" s="3"/>
      <c r="V31" s="3"/>
      <c r="W31" s="3"/>
      <c r="X31" s="3"/>
      <c r="Y31" s="3"/>
      <c r="Z31" s="62"/>
      <c r="AA31" s="62"/>
      <c r="AB31" s="62"/>
      <c r="AC31" s="62"/>
      <c r="AD31" s="62"/>
      <c r="AE31" s="62"/>
      <c r="AF31" s="62"/>
      <c r="AG31" s="62"/>
      <c r="AH31" s="62"/>
      <c r="AI31" s="62"/>
      <c r="AJ31" s="3"/>
      <c r="AK31" s="3"/>
      <c r="AL31" s="3"/>
    </row>
    <row r="32" spans="1:38" ht="43.5" customHeight="1" x14ac:dyDescent="0.2">
      <c r="A32" s="31" t="str">
        <f t="shared" ref="A32:A33" si="0">A1</f>
        <v>Indicator 8a</v>
      </c>
      <c r="B32" s="3"/>
      <c r="C32" s="82" t="s">
        <v>176</v>
      </c>
      <c r="D32" s="83"/>
      <c r="E32" s="83"/>
      <c r="F32" s="83"/>
      <c r="G32" s="83"/>
      <c r="H32" s="83"/>
      <c r="I32" s="83"/>
      <c r="J32" s="83"/>
      <c r="K32" s="83"/>
      <c r="L32" s="83"/>
      <c r="M32" s="83"/>
      <c r="N32" s="83"/>
      <c r="O32" s="3"/>
      <c r="P32" s="3"/>
      <c r="Q32" s="3"/>
      <c r="R32" s="3"/>
      <c r="S32" s="3"/>
      <c r="T32" s="3"/>
      <c r="U32" s="3"/>
      <c r="V32" s="3"/>
      <c r="W32" s="3"/>
      <c r="X32" s="3"/>
      <c r="Y32" s="3"/>
      <c r="Z32" s="62"/>
      <c r="AA32" s="62"/>
      <c r="AB32" s="62"/>
      <c r="AC32" s="62"/>
      <c r="AD32" s="62"/>
      <c r="AE32" s="62"/>
      <c r="AF32" s="62"/>
      <c r="AG32" s="62"/>
      <c r="AH32" s="62"/>
      <c r="AI32" s="62"/>
      <c r="AJ32" s="3"/>
      <c r="AK32" s="3"/>
      <c r="AL32" s="3"/>
    </row>
    <row r="33" spans="1:38" ht="43.5" customHeight="1" x14ac:dyDescent="0.2">
      <c r="A33" s="33" t="str">
        <f t="shared" si="0"/>
        <v>Indicator 8b</v>
      </c>
      <c r="B33" s="3"/>
      <c r="C33" s="42" t="s">
        <v>177</v>
      </c>
      <c r="D33" s="32"/>
      <c r="E33" s="32"/>
      <c r="F33" s="32"/>
      <c r="G33" s="32"/>
      <c r="H33" s="32"/>
      <c r="I33" s="32"/>
      <c r="J33" s="32"/>
      <c r="K33" s="32"/>
      <c r="L33" s="32"/>
      <c r="M33" s="32"/>
      <c r="N33" s="32"/>
      <c r="O33" s="3"/>
      <c r="P33" s="3"/>
      <c r="Q33" s="3"/>
      <c r="R33" s="3"/>
      <c r="S33" s="3"/>
      <c r="T33" s="3"/>
      <c r="U33" s="3"/>
      <c r="V33" s="3"/>
      <c r="W33" s="3"/>
      <c r="X33" s="3"/>
      <c r="Y33" s="3"/>
      <c r="Z33" s="3"/>
      <c r="AA33" s="3"/>
      <c r="AB33" s="3"/>
      <c r="AC33" s="3"/>
      <c r="AD33" s="3"/>
      <c r="AE33" s="3"/>
      <c r="AF33" s="3"/>
      <c r="AG33" s="3"/>
      <c r="AH33" s="3"/>
      <c r="AI33" s="3"/>
      <c r="AJ33" s="3"/>
      <c r="AK33" s="3"/>
      <c r="AL33" s="3"/>
    </row>
    <row r="34" spans="1:38" ht="17.25" customHeight="1" x14ac:dyDescent="0.2">
      <c r="A34" s="24"/>
      <c r="B34" s="3"/>
      <c r="C34" s="32"/>
      <c r="D34" s="32"/>
      <c r="E34" s="32"/>
      <c r="F34" s="32"/>
      <c r="G34" s="32"/>
      <c r="H34" s="32"/>
      <c r="I34" s="32"/>
      <c r="J34" s="32"/>
      <c r="K34" s="32"/>
      <c r="L34" s="32"/>
      <c r="M34" s="32"/>
      <c r="N34" s="32"/>
      <c r="O34" s="3"/>
      <c r="P34" s="3"/>
      <c r="Q34" s="3"/>
      <c r="R34" s="3"/>
      <c r="S34" s="3"/>
      <c r="T34" s="3"/>
      <c r="U34" s="3"/>
      <c r="V34" s="3"/>
      <c r="W34" s="3"/>
      <c r="X34" s="3"/>
      <c r="Y34" s="3"/>
      <c r="Z34" s="3"/>
      <c r="AA34" s="3"/>
      <c r="AB34" s="3"/>
      <c r="AC34" s="3"/>
      <c r="AD34" s="3"/>
      <c r="AE34" s="3"/>
      <c r="AF34" s="3"/>
      <c r="AG34" s="3"/>
      <c r="AH34" s="3"/>
      <c r="AI34" s="3"/>
      <c r="AJ34" s="3"/>
      <c r="AK34" s="3"/>
      <c r="AL34" s="3"/>
    </row>
    <row r="35" spans="1:38" ht="17.25" customHeight="1" x14ac:dyDescent="0.2">
      <c r="A35" s="15" t="s">
        <v>119</v>
      </c>
      <c r="B35" s="3"/>
      <c r="C35" s="32"/>
      <c r="D35" s="32"/>
      <c r="E35" s="32"/>
      <c r="F35" s="32"/>
      <c r="G35" s="32"/>
      <c r="H35" s="32"/>
      <c r="I35" s="32"/>
      <c r="J35" s="32"/>
      <c r="K35" s="32"/>
      <c r="L35" s="32"/>
      <c r="M35" s="32"/>
      <c r="N35" s="32"/>
      <c r="O35" s="3"/>
      <c r="P35" s="3"/>
      <c r="Q35" s="3"/>
      <c r="R35" s="3"/>
      <c r="S35" s="3"/>
      <c r="T35" s="3"/>
      <c r="U35" s="3"/>
      <c r="V35" s="3"/>
      <c r="W35" s="3"/>
      <c r="X35" s="3"/>
      <c r="Y35" s="3"/>
      <c r="Z35" s="3"/>
      <c r="AA35" s="3"/>
      <c r="AB35" s="3"/>
      <c r="AC35" s="3"/>
      <c r="AD35" s="3"/>
      <c r="AE35" s="3"/>
      <c r="AF35" s="3"/>
      <c r="AG35" s="3"/>
      <c r="AH35" s="3"/>
      <c r="AI35" s="3"/>
      <c r="AJ35" s="3"/>
      <c r="AK35" s="3"/>
      <c r="AL35" s="3"/>
    </row>
    <row r="36" spans="1:38" ht="192" customHeight="1" x14ac:dyDescent="0.2">
      <c r="A36" s="31" t="s">
        <v>178</v>
      </c>
      <c r="B36" s="3"/>
      <c r="C36" s="82" t="s">
        <v>179</v>
      </c>
      <c r="D36" s="83"/>
      <c r="E36" s="83"/>
      <c r="F36" s="83"/>
      <c r="G36" s="83"/>
      <c r="H36" s="83"/>
      <c r="I36" s="83"/>
      <c r="J36" s="83"/>
      <c r="K36" s="83"/>
      <c r="L36" s="83"/>
      <c r="M36" s="83"/>
      <c r="N36" s="83"/>
      <c r="O36" s="3"/>
      <c r="P36" s="3"/>
      <c r="Q36" s="3"/>
      <c r="R36" s="3"/>
      <c r="S36" s="3"/>
      <c r="T36" s="3"/>
      <c r="U36" s="3"/>
      <c r="V36" s="3"/>
      <c r="W36" s="3"/>
      <c r="X36" s="3"/>
      <c r="Y36" s="3"/>
      <c r="Z36" s="3"/>
      <c r="AA36" s="3"/>
      <c r="AB36" s="3"/>
      <c r="AC36" s="3"/>
      <c r="AD36" s="3"/>
      <c r="AE36" s="3"/>
      <c r="AF36" s="3"/>
      <c r="AG36" s="3"/>
      <c r="AH36" s="3"/>
      <c r="AI36" s="3"/>
      <c r="AJ36" s="3"/>
      <c r="AK36" s="3"/>
      <c r="AL36" s="3"/>
    </row>
    <row r="37" spans="1:38" ht="336" customHeight="1" x14ac:dyDescent="0.2">
      <c r="A37" s="41" t="s">
        <v>180</v>
      </c>
      <c r="B37" s="3"/>
      <c r="C37" s="82" t="s">
        <v>181</v>
      </c>
      <c r="D37" s="83"/>
      <c r="E37" s="83"/>
      <c r="F37" s="83"/>
      <c r="G37" s="83"/>
      <c r="H37" s="83"/>
      <c r="I37" s="83"/>
      <c r="J37" s="83"/>
      <c r="K37" s="83"/>
      <c r="L37" s="83"/>
      <c r="M37" s="83"/>
      <c r="N37" s="83"/>
      <c r="O37" s="3"/>
      <c r="P37" s="3"/>
      <c r="Q37" s="3"/>
      <c r="R37" s="3"/>
      <c r="S37" s="3"/>
      <c r="T37" s="3"/>
      <c r="U37" s="3"/>
      <c r="V37" s="3"/>
      <c r="W37" s="3"/>
      <c r="X37" s="3"/>
      <c r="Y37" s="3"/>
      <c r="Z37" s="3"/>
      <c r="AA37" s="3"/>
      <c r="AB37" s="3"/>
      <c r="AC37" s="3"/>
      <c r="AD37" s="3"/>
      <c r="AE37" s="3"/>
      <c r="AF37" s="3"/>
      <c r="AG37" s="3"/>
      <c r="AH37" s="3"/>
      <c r="AI37" s="3"/>
      <c r="AJ37" s="3"/>
      <c r="AK37" s="3"/>
      <c r="AL37" s="3"/>
    </row>
    <row r="38" spans="1:38" ht="15.75" customHeight="1" x14ac:dyDescent="0.2">
      <c r="A38" s="3"/>
      <c r="B38" s="3"/>
      <c r="C38" s="32"/>
      <c r="D38" s="32"/>
      <c r="E38" s="32"/>
      <c r="F38" s="32"/>
      <c r="G38" s="32"/>
      <c r="H38" s="32"/>
      <c r="I38" s="32"/>
      <c r="J38" s="32"/>
      <c r="K38" s="32"/>
      <c r="L38" s="32"/>
      <c r="M38" s="32"/>
      <c r="N38" s="32"/>
      <c r="O38" s="3"/>
      <c r="P38" s="3"/>
      <c r="Q38" s="3"/>
      <c r="R38" s="3"/>
      <c r="S38" s="3"/>
      <c r="T38" s="3"/>
      <c r="U38" s="3"/>
      <c r="V38" s="3"/>
      <c r="W38" s="3"/>
      <c r="X38" s="3"/>
      <c r="Y38" s="3"/>
      <c r="Z38" s="3"/>
      <c r="AA38" s="3"/>
      <c r="AB38" s="3"/>
      <c r="AC38" s="3"/>
      <c r="AD38" s="3"/>
      <c r="AE38" s="3"/>
      <c r="AF38" s="3"/>
      <c r="AG38" s="3"/>
      <c r="AH38" s="3"/>
      <c r="AI38" s="3"/>
      <c r="AJ38" s="3"/>
      <c r="AK38" s="3"/>
      <c r="AL38" s="3"/>
    </row>
    <row r="39" spans="1:38" ht="15.75" customHeight="1" x14ac:dyDescent="0.2">
      <c r="A39" s="15" t="s">
        <v>142</v>
      </c>
      <c r="B39" s="3"/>
      <c r="C39" s="32"/>
      <c r="D39" s="32"/>
      <c r="E39" s="32"/>
      <c r="F39" s="32"/>
      <c r="G39" s="32"/>
      <c r="H39" s="32"/>
      <c r="I39" s="32"/>
      <c r="J39" s="32"/>
      <c r="K39" s="32"/>
      <c r="L39" s="32"/>
      <c r="M39" s="32"/>
      <c r="N39" s="32"/>
      <c r="O39" s="3"/>
      <c r="P39" s="3"/>
      <c r="Q39" s="3"/>
      <c r="R39" s="3"/>
      <c r="S39" s="3"/>
      <c r="T39" s="3"/>
      <c r="U39" s="3"/>
      <c r="V39" s="3"/>
      <c r="W39" s="3"/>
      <c r="X39" s="3"/>
      <c r="Y39" s="3"/>
      <c r="Z39" s="3"/>
      <c r="AA39" s="3"/>
      <c r="AB39" s="3"/>
      <c r="AC39" s="3"/>
      <c r="AD39" s="3"/>
      <c r="AE39" s="3"/>
      <c r="AF39" s="3"/>
      <c r="AG39" s="3"/>
      <c r="AH39" s="3"/>
      <c r="AI39" s="3"/>
      <c r="AJ39" s="3"/>
      <c r="AK39" s="3"/>
      <c r="AL39" s="3"/>
    </row>
    <row r="40" spans="1:38" ht="15.75" customHeight="1" x14ac:dyDescent="0.2">
      <c r="A40" s="38" t="str">
        <f>(A1&amp;" – "&amp;A3)</f>
        <v>Indicator 8a – Indicator 9a</v>
      </c>
      <c r="B40" s="3"/>
      <c r="C40" s="82" t="s">
        <v>143</v>
      </c>
      <c r="D40" s="83"/>
      <c r="E40" s="83"/>
      <c r="F40" s="83"/>
      <c r="G40" s="83"/>
      <c r="H40" s="83"/>
      <c r="I40" s="83"/>
      <c r="J40" s="83"/>
      <c r="K40" s="83"/>
      <c r="L40" s="83"/>
      <c r="M40" s="83"/>
      <c r="N40" s="83"/>
      <c r="O40" s="3"/>
      <c r="P40" s="3"/>
      <c r="Q40" s="3"/>
      <c r="R40" s="3"/>
      <c r="S40" s="3"/>
      <c r="T40" s="3"/>
      <c r="U40" s="3"/>
      <c r="V40" s="3"/>
      <c r="W40" s="3"/>
      <c r="X40" s="3"/>
      <c r="Y40" s="3"/>
      <c r="Z40" s="3"/>
      <c r="AA40" s="3"/>
      <c r="AB40" s="3"/>
      <c r="AC40" s="3"/>
      <c r="AD40" s="3"/>
      <c r="AE40" s="3"/>
      <c r="AF40" s="3"/>
      <c r="AG40" s="3"/>
      <c r="AH40" s="3"/>
      <c r="AI40" s="3"/>
      <c r="AJ40" s="3"/>
      <c r="AK40" s="3"/>
      <c r="AL40" s="3"/>
    </row>
    <row r="41" spans="1:38" ht="15.75" customHeight="1" x14ac:dyDescent="0.2">
      <c r="A41" s="3"/>
      <c r="B41" s="3"/>
      <c r="C41" s="32"/>
      <c r="D41" s="32"/>
      <c r="E41" s="32"/>
      <c r="F41" s="32"/>
      <c r="G41" s="32"/>
      <c r="H41" s="32"/>
      <c r="I41" s="32"/>
      <c r="J41" s="32"/>
      <c r="K41" s="32"/>
      <c r="L41" s="32"/>
      <c r="M41" s="32"/>
      <c r="N41" s="32"/>
      <c r="O41" s="3"/>
      <c r="P41" s="3"/>
      <c r="Q41" s="3"/>
      <c r="R41" s="3"/>
      <c r="S41" s="3"/>
      <c r="T41" s="3"/>
      <c r="U41" s="3"/>
      <c r="V41" s="3"/>
      <c r="W41" s="3"/>
      <c r="X41" s="3"/>
      <c r="Y41" s="3"/>
      <c r="Z41" s="3"/>
      <c r="AA41" s="3"/>
      <c r="AB41" s="3"/>
      <c r="AC41" s="3"/>
      <c r="AD41" s="3"/>
      <c r="AE41" s="3"/>
      <c r="AF41" s="3"/>
      <c r="AG41" s="3"/>
      <c r="AH41" s="3"/>
      <c r="AI41" s="3"/>
      <c r="AJ41" s="3"/>
      <c r="AK41" s="3"/>
      <c r="AL41" s="3"/>
    </row>
    <row r="42" spans="1:38" ht="15.75" customHeight="1" x14ac:dyDescent="0.2">
      <c r="A42" s="15" t="s">
        <v>144</v>
      </c>
      <c r="B42" s="3"/>
      <c r="C42" s="32"/>
      <c r="D42" s="32"/>
      <c r="E42" s="32"/>
      <c r="F42" s="32"/>
      <c r="G42" s="32"/>
      <c r="H42" s="32"/>
      <c r="I42" s="32"/>
      <c r="J42" s="32"/>
      <c r="K42" s="32"/>
      <c r="L42" s="32"/>
      <c r="M42" s="32"/>
      <c r="N42" s="32"/>
      <c r="O42" s="3"/>
      <c r="P42" s="3"/>
      <c r="Q42" s="3"/>
      <c r="R42" s="3"/>
      <c r="S42" s="3"/>
      <c r="T42" s="3"/>
      <c r="U42" s="3"/>
      <c r="V42" s="3"/>
      <c r="W42" s="3"/>
      <c r="X42" s="3"/>
      <c r="Y42" s="3"/>
      <c r="Z42" s="3"/>
      <c r="AA42" s="3"/>
      <c r="AB42" s="3"/>
      <c r="AC42" s="3"/>
      <c r="AD42" s="3"/>
      <c r="AE42" s="3"/>
      <c r="AF42" s="3"/>
      <c r="AG42" s="3"/>
      <c r="AH42" s="3"/>
      <c r="AI42" s="3"/>
      <c r="AJ42" s="3"/>
      <c r="AK42" s="3"/>
      <c r="AL42" s="3"/>
    </row>
    <row r="43" spans="1:38" ht="39" customHeight="1" x14ac:dyDescent="0.2">
      <c r="A43" s="31" t="str">
        <f>(A1&amp;" – "&amp;A2)</f>
        <v>Indicator 8a – Indicator 8b</v>
      </c>
      <c r="B43" s="3"/>
      <c r="C43" s="82" t="s">
        <v>182</v>
      </c>
      <c r="D43" s="83"/>
      <c r="E43" s="83"/>
      <c r="F43" s="83"/>
      <c r="G43" s="83"/>
      <c r="H43" s="83"/>
      <c r="I43" s="83"/>
      <c r="J43" s="83"/>
      <c r="K43" s="83"/>
      <c r="L43" s="83"/>
      <c r="M43" s="83"/>
      <c r="N43" s="83"/>
      <c r="O43" s="36"/>
      <c r="P43" s="36"/>
      <c r="Q43" s="36"/>
      <c r="R43" s="36"/>
      <c r="S43" s="36"/>
      <c r="T43" s="36"/>
      <c r="U43" s="36"/>
      <c r="V43" s="36"/>
      <c r="W43" s="36"/>
      <c r="X43" s="36"/>
      <c r="Y43" s="36"/>
      <c r="Z43" s="36"/>
      <c r="AA43" s="36"/>
      <c r="AB43" s="36"/>
      <c r="AC43" s="36"/>
      <c r="AD43" s="36"/>
      <c r="AE43" s="36"/>
      <c r="AF43" s="36"/>
      <c r="AG43" s="36"/>
      <c r="AH43" s="36"/>
      <c r="AI43" s="3"/>
      <c r="AJ43" s="3"/>
      <c r="AK43" s="3"/>
      <c r="AL43" s="3"/>
    </row>
    <row r="44" spans="1:38" ht="15.75" customHeight="1" x14ac:dyDescent="0.2">
      <c r="A44" s="33" t="str">
        <f>(A3)</f>
        <v>Indicator 9a</v>
      </c>
      <c r="B44" s="3"/>
      <c r="C44" s="82" t="s">
        <v>183</v>
      </c>
      <c r="D44" s="83"/>
      <c r="E44" s="83"/>
      <c r="F44" s="83"/>
      <c r="G44" s="83"/>
      <c r="H44" s="83"/>
      <c r="I44" s="83"/>
      <c r="J44" s="83"/>
      <c r="K44" s="83"/>
      <c r="L44" s="83"/>
      <c r="M44" s="83"/>
      <c r="N44" s="83"/>
      <c r="O44" s="3"/>
      <c r="P44" s="3"/>
      <c r="Q44" s="3"/>
      <c r="R44" s="3"/>
      <c r="S44" s="3"/>
      <c r="T44" s="3"/>
      <c r="U44" s="3"/>
      <c r="V44" s="3"/>
      <c r="W44" s="3"/>
      <c r="X44" s="3"/>
      <c r="Y44" s="3"/>
      <c r="Z44" s="3"/>
      <c r="AA44" s="3"/>
      <c r="AB44" s="3"/>
      <c r="AC44" s="3"/>
      <c r="AD44" s="3"/>
      <c r="AE44" s="3"/>
      <c r="AF44" s="3"/>
      <c r="AG44" s="3"/>
      <c r="AH44" s="3"/>
      <c r="AI44" s="3"/>
      <c r="AJ44" s="3"/>
      <c r="AK44" s="3"/>
      <c r="AL44" s="3"/>
    </row>
    <row r="45" spans="1:38" ht="15" customHeight="1" x14ac:dyDescent="0.2">
      <c r="A45" s="3"/>
      <c r="B45" s="3"/>
      <c r="C45" s="32"/>
      <c r="D45" s="32"/>
      <c r="E45" s="32"/>
      <c r="F45" s="32"/>
      <c r="G45" s="32"/>
      <c r="H45" s="32"/>
      <c r="I45" s="32"/>
      <c r="J45" s="32"/>
      <c r="K45" s="32"/>
      <c r="L45" s="32"/>
      <c r="M45" s="32"/>
      <c r="N45" s="32"/>
      <c r="O45" s="3"/>
      <c r="P45" s="3"/>
      <c r="Q45" s="3"/>
      <c r="R45" s="3"/>
      <c r="S45" s="3"/>
      <c r="T45" s="3"/>
      <c r="U45" s="3"/>
      <c r="V45" s="3"/>
      <c r="W45" s="3"/>
      <c r="X45" s="3"/>
      <c r="Y45" s="3"/>
      <c r="Z45" s="3"/>
      <c r="AA45" s="3"/>
      <c r="AB45" s="3"/>
      <c r="AC45" s="3"/>
      <c r="AD45" s="3"/>
      <c r="AE45" s="3"/>
      <c r="AF45" s="3"/>
      <c r="AG45" s="3"/>
      <c r="AH45" s="3"/>
      <c r="AI45" s="3"/>
      <c r="AJ45" s="3"/>
      <c r="AK45" s="3"/>
      <c r="AL45" s="3"/>
    </row>
    <row r="46" spans="1:38"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row>
    <row r="47" spans="1:38"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row>
    <row r="48" spans="1:38"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row>
    <row r="49" spans="1:38"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row>
    <row r="50" spans="1:38"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row>
    <row r="51" spans="1:38"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row>
    <row r="52" spans="1:38"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row>
    <row r="53" spans="1:38"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row>
    <row r="54" spans="1:38"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row>
    <row r="55" spans="1:38"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row>
    <row r="56" spans="1:38"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row>
    <row r="57" spans="1:38"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row>
    <row r="58" spans="1:38"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row>
    <row r="59" spans="1:38"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row>
    <row r="60" spans="1:38"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row>
    <row r="61" spans="1:38"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row>
    <row r="62" spans="1:38"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row>
    <row r="63" spans="1:38"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row>
    <row r="64" spans="1:38"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row>
    <row r="65" spans="1:38"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row>
    <row r="66" spans="1:38"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row>
    <row r="67" spans="1:38"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row>
    <row r="68" spans="1:38"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row>
    <row r="69" spans="1:38"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row>
    <row r="70" spans="1:38"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row>
    <row r="71" spans="1:38" ht="15.7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row>
    <row r="72" spans="1:38" ht="15.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row>
    <row r="73" spans="1:38"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row>
    <row r="74" spans="1:38"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row>
    <row r="75" spans="1:38"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row>
    <row r="76" spans="1:38"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row>
    <row r="77" spans="1:38"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row>
    <row r="78" spans="1:38"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row>
    <row r="79" spans="1:38"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row>
    <row r="80" spans="1:38"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row>
    <row r="81" spans="1:38"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row>
    <row r="82" spans="1:38"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row>
    <row r="83" spans="1:38"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row>
    <row r="84" spans="1:38"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row>
    <row r="85" spans="1:38"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row>
    <row r="86" spans="1:38"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row>
    <row r="87" spans="1:38"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row>
    <row r="88" spans="1:38"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row>
    <row r="89" spans="1:38"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row>
    <row r="90" spans="1:38"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row>
    <row r="91" spans="1:38"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row>
    <row r="92" spans="1:38"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row>
    <row r="93" spans="1:38"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row>
    <row r="94" spans="1:38"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row>
    <row r="95" spans="1:38"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row>
    <row r="96" spans="1:38"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row>
    <row r="97" spans="1:38"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row>
    <row r="98" spans="1:38"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row>
    <row r="99" spans="1:38"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row>
    <row r="100" spans="1:38"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row>
    <row r="101" spans="1:38"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row>
    <row r="102" spans="1:38"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row>
    <row r="103" spans="1:38"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row>
    <row r="104" spans="1:38"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row>
    <row r="105" spans="1:38"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row>
    <row r="106" spans="1:38"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row>
    <row r="107" spans="1:38"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row>
    <row r="108" spans="1:38"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row>
    <row r="109" spans="1:38"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row>
    <row r="110" spans="1:38"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row>
    <row r="111" spans="1:38"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row>
    <row r="112" spans="1:38"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row>
    <row r="113" spans="1:38"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row>
    <row r="114" spans="1:38"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row>
    <row r="115" spans="1:38"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row>
    <row r="116" spans="1:38"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row>
    <row r="117" spans="1:38"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row>
    <row r="118" spans="1:38"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row>
    <row r="119" spans="1:38"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row>
    <row r="120" spans="1:38"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row>
    <row r="121" spans="1:38"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row>
    <row r="122" spans="1:38"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row>
    <row r="123" spans="1:38"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row>
    <row r="124" spans="1:38"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row>
    <row r="125" spans="1:38"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row>
    <row r="126" spans="1:38"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row>
    <row r="127" spans="1:38"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row>
    <row r="128" spans="1:38"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row>
    <row r="129" spans="1:38"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row>
    <row r="130" spans="1:38"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row>
    <row r="131" spans="1:38"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row>
    <row r="132" spans="1:38"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row>
    <row r="133" spans="1:38"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row>
    <row r="134" spans="1:38"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row>
    <row r="135" spans="1:38"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row>
    <row r="136" spans="1:38"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row>
    <row r="137" spans="1:38"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row>
    <row r="138" spans="1:38"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row>
    <row r="139" spans="1:38"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row>
    <row r="140" spans="1:38"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row>
    <row r="141" spans="1:38"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row>
    <row r="142" spans="1:38"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row>
    <row r="143" spans="1:38"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row>
    <row r="144" spans="1:38"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row>
    <row r="145" spans="1:38"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row>
    <row r="146" spans="1:38"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row>
    <row r="147" spans="1:38"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row>
    <row r="148" spans="1:38"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row>
    <row r="149" spans="1:38"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row>
    <row r="150" spans="1:38"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row>
    <row r="151" spans="1:38"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row>
    <row r="152" spans="1:38"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row>
    <row r="153" spans="1:38"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row>
    <row r="154" spans="1:38"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row>
    <row r="155" spans="1:38"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row>
    <row r="156" spans="1:38"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row>
    <row r="157" spans="1:38"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row>
    <row r="158" spans="1:38"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row>
    <row r="159" spans="1:38"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row>
    <row r="160" spans="1:38"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row>
    <row r="161" spans="1:38"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row>
    <row r="162" spans="1:38"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row>
    <row r="163" spans="1:38"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row>
    <row r="164" spans="1:38"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row>
    <row r="165" spans="1:38"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row>
    <row r="166" spans="1:38"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row>
    <row r="167" spans="1:38"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row>
    <row r="168" spans="1:38"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row>
    <row r="169" spans="1:38"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row>
    <row r="170" spans="1:38"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row>
    <row r="171" spans="1:38"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row>
    <row r="172" spans="1:38"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row>
    <row r="173" spans="1:38"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row>
    <row r="174" spans="1:38"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row>
    <row r="175" spans="1:38"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row>
    <row r="176" spans="1:38"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row>
    <row r="177" spans="1:38"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row>
    <row r="178" spans="1:38"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row>
    <row r="179" spans="1:38"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row>
    <row r="180" spans="1:38"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row>
    <row r="181" spans="1:38"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row>
    <row r="182" spans="1:38"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row>
    <row r="183" spans="1:38"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row>
    <row r="184" spans="1:38"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row>
    <row r="185" spans="1:38"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row>
    <row r="186" spans="1:38"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row>
    <row r="187" spans="1:38"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row>
    <row r="188" spans="1:38"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row>
    <row r="189" spans="1:38"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row>
    <row r="190" spans="1:38"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row>
    <row r="191" spans="1:38"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row>
    <row r="192" spans="1:38"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row>
    <row r="193" spans="1:38"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row>
    <row r="194" spans="1:38"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row>
    <row r="195" spans="1:38"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row>
    <row r="196" spans="1:38"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row>
    <row r="197" spans="1:38"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row>
    <row r="198" spans="1:38"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row>
    <row r="199" spans="1:38"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row>
    <row r="200" spans="1:38"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row>
    <row r="201" spans="1:38"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row>
    <row r="202" spans="1:38"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row>
    <row r="203" spans="1:38"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row>
    <row r="204" spans="1:38"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row>
    <row r="205" spans="1:38"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row>
    <row r="206" spans="1:38"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row>
    <row r="207" spans="1:38"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row>
    <row r="208" spans="1:38"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row>
    <row r="209" spans="1:38"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row>
    <row r="210" spans="1:38"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row>
    <row r="211" spans="1:38"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row>
    <row r="212" spans="1:38"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row>
    <row r="213" spans="1:38"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row>
    <row r="214" spans="1:38"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row>
    <row r="215" spans="1:38"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row>
    <row r="216" spans="1:38"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row>
    <row r="217" spans="1:38"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row>
    <row r="218" spans="1:38"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row>
    <row r="219" spans="1:38"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row>
    <row r="220" spans="1:38"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row>
    <row r="221" spans="1:38"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row>
    <row r="222" spans="1:38"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row>
    <row r="223" spans="1:38"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row>
    <row r="224" spans="1:38"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row>
    <row r="225" spans="1:38"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row>
    <row r="226" spans="1:38"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row>
    <row r="227" spans="1:38"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row>
    <row r="228" spans="1:38"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row>
    <row r="229" spans="1:38"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row>
    <row r="230" spans="1:38"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row>
    <row r="231" spans="1:38"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row>
    <row r="232" spans="1:38"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row>
    <row r="233" spans="1:38"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row>
    <row r="234" spans="1:38"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row>
    <row r="235" spans="1:38"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row>
    <row r="236" spans="1:38"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row>
    <row r="237" spans="1:38"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row>
    <row r="238" spans="1:38"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row>
    <row r="239" spans="1:38"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row>
    <row r="240" spans="1:38"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row>
    <row r="241" spans="1:38"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row>
    <row r="242" spans="1:38"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row>
    <row r="243" spans="1:38"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row>
    <row r="244" spans="1:38" ht="15.75" customHeight="1" x14ac:dyDescent="0.2"/>
    <row r="245" spans="1:38" ht="15.75" customHeight="1" x14ac:dyDescent="0.2"/>
    <row r="246" spans="1:38" ht="15.75" customHeight="1" x14ac:dyDescent="0.2"/>
    <row r="247" spans="1:38" ht="15.75" customHeight="1" x14ac:dyDescent="0.2"/>
    <row r="248" spans="1:38" ht="15.75" customHeight="1" x14ac:dyDescent="0.2"/>
    <row r="249" spans="1:38" ht="15.75" customHeight="1" x14ac:dyDescent="0.2"/>
    <row r="250" spans="1:38" ht="15.75" customHeight="1" x14ac:dyDescent="0.2"/>
    <row r="251" spans="1:38" ht="15.75" customHeight="1" x14ac:dyDescent="0.2"/>
    <row r="252" spans="1:38" ht="15.75" customHeight="1" x14ac:dyDescent="0.2"/>
    <row r="253" spans="1:38" ht="15.75" customHeight="1" x14ac:dyDescent="0.2"/>
    <row r="254" spans="1:38" ht="15.75" customHeight="1" x14ac:dyDescent="0.2"/>
    <row r="255" spans="1:38" ht="15.75" customHeight="1" x14ac:dyDescent="0.2"/>
    <row r="256" spans="1:38"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sheetData>
  <mergeCells count="7">
    <mergeCell ref="C43:N43"/>
    <mergeCell ref="C44:N44"/>
    <mergeCell ref="C25:T25"/>
    <mergeCell ref="C32:N32"/>
    <mergeCell ref="C36:N36"/>
    <mergeCell ref="C37:N37"/>
    <mergeCell ref="C40:N40"/>
  </mergeCells>
  <pageMargins left="0.7" right="0.7" top="0.75" bottom="0.75"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sheetPr>
  <dimension ref="A1:AL999"/>
  <sheetViews>
    <sheetView showGridLines="0" zoomScale="120" zoomScaleNormal="120" workbookViewId="0">
      <selection activeCell="C17" sqref="C17:J22"/>
    </sheetView>
  </sheetViews>
  <sheetFormatPr baseColWidth="10" defaultColWidth="14.5" defaultRowHeight="15" customHeight="1" x14ac:dyDescent="0.2"/>
  <cols>
    <col min="1" max="1" width="51.6640625" customWidth="1"/>
    <col min="2" max="2" width="1.33203125" customWidth="1"/>
    <col min="3" max="27" width="9.1640625" customWidth="1"/>
    <col min="28" max="34" width="9.33203125" customWidth="1"/>
    <col min="35" max="35" width="10.6640625" bestFit="1" customWidth="1"/>
    <col min="36" max="36" width="11" bestFit="1" customWidth="1"/>
    <col min="37" max="37" width="10.6640625" bestFit="1" customWidth="1"/>
    <col min="38" max="38" width="11" bestFit="1" customWidth="1"/>
  </cols>
  <sheetData>
    <row r="1" spans="1:38" ht="31.5" customHeight="1" x14ac:dyDescent="0.2">
      <c r="A1" s="10" t="s">
        <v>184</v>
      </c>
      <c r="B1" s="10"/>
      <c r="C1" s="11" t="s">
        <v>185</v>
      </c>
      <c r="D1" s="10"/>
      <c r="E1" s="10"/>
      <c r="F1" s="10"/>
      <c r="G1" s="10"/>
      <c r="H1" s="10"/>
      <c r="I1" s="10"/>
      <c r="J1" s="10"/>
      <c r="K1" s="10"/>
      <c r="L1" s="10"/>
      <c r="M1" s="10"/>
      <c r="N1" s="10"/>
      <c r="O1" s="10"/>
      <c r="P1" s="10"/>
      <c r="Q1" s="10"/>
      <c r="R1" s="10"/>
      <c r="S1" s="10"/>
      <c r="T1" s="10"/>
      <c r="U1" s="3"/>
      <c r="V1" s="3"/>
      <c r="W1" s="3"/>
      <c r="X1" s="3"/>
      <c r="Y1" s="3"/>
      <c r="Z1" s="3"/>
      <c r="AA1" s="3"/>
      <c r="AB1" s="3"/>
      <c r="AC1" s="3"/>
      <c r="AD1" s="3"/>
      <c r="AE1" s="3"/>
      <c r="AF1" s="3"/>
      <c r="AG1" s="3"/>
      <c r="AH1" s="3"/>
      <c r="AI1" s="3"/>
      <c r="AJ1" s="3"/>
      <c r="AK1" s="3"/>
      <c r="AL1" s="3"/>
    </row>
    <row r="2" spans="1:38" ht="31.5" customHeight="1" x14ac:dyDescent="0.2">
      <c r="A2" s="10" t="s">
        <v>186</v>
      </c>
      <c r="B2" s="10"/>
      <c r="C2" s="11" t="s">
        <v>187</v>
      </c>
      <c r="D2" s="10"/>
      <c r="E2" s="10"/>
      <c r="F2" s="10"/>
      <c r="G2" s="10"/>
      <c r="H2" s="10"/>
      <c r="I2" s="10"/>
      <c r="J2" s="10"/>
      <c r="K2" s="10"/>
      <c r="L2" s="10"/>
      <c r="M2" s="10"/>
      <c r="N2" s="10"/>
      <c r="O2" s="10"/>
      <c r="P2" s="10"/>
      <c r="Q2" s="10"/>
      <c r="R2" s="10"/>
      <c r="S2" s="10"/>
      <c r="T2" s="10"/>
      <c r="U2" s="3"/>
      <c r="V2" s="3"/>
      <c r="W2" s="3"/>
      <c r="X2" s="3"/>
      <c r="Y2" s="3"/>
      <c r="Z2" s="3"/>
      <c r="AA2" s="3"/>
      <c r="AB2" s="3"/>
      <c r="AC2" s="3"/>
      <c r="AD2" s="3"/>
      <c r="AE2" s="3"/>
      <c r="AF2" s="3"/>
      <c r="AG2" s="3"/>
      <c r="AH2" s="3"/>
      <c r="AI2" s="3"/>
      <c r="AJ2" s="3"/>
      <c r="AK2" s="3"/>
      <c r="AL2" s="3"/>
    </row>
    <row r="3" spans="1:38" ht="31.5" customHeight="1" x14ac:dyDescent="0.25">
      <c r="A3" s="12"/>
      <c r="B3" s="3"/>
      <c r="C3" s="13"/>
      <c r="D3" s="14"/>
      <c r="E3" s="14"/>
      <c r="F3" s="14"/>
      <c r="G3" s="14"/>
      <c r="H3" s="14"/>
      <c r="I3" s="14"/>
      <c r="J3" s="14"/>
      <c r="K3" s="14"/>
      <c r="L3" s="14"/>
      <c r="M3" s="14"/>
      <c r="N3" s="14"/>
      <c r="O3" s="3"/>
      <c r="P3" s="3"/>
      <c r="Q3" s="3"/>
      <c r="R3" s="3"/>
      <c r="S3" s="3"/>
      <c r="T3" s="3"/>
      <c r="U3" s="3"/>
      <c r="V3" s="3"/>
      <c r="W3" s="3"/>
      <c r="X3" s="3"/>
      <c r="Y3" s="3"/>
      <c r="Z3" s="3"/>
      <c r="AA3" s="3"/>
      <c r="AB3" s="3"/>
      <c r="AC3" s="3"/>
      <c r="AD3" s="3"/>
      <c r="AE3" s="3"/>
      <c r="AF3" s="3"/>
      <c r="AG3" s="3"/>
      <c r="AH3" s="3"/>
      <c r="AI3" s="3"/>
      <c r="AJ3" s="3"/>
      <c r="AK3" s="3"/>
      <c r="AL3" s="3"/>
    </row>
    <row r="4" spans="1:38" ht="19" x14ac:dyDescent="0.25">
      <c r="A4" s="15" t="s">
        <v>61</v>
      </c>
      <c r="B4" s="3"/>
      <c r="C4" s="13"/>
      <c r="D4" s="14"/>
      <c r="E4" s="14"/>
      <c r="F4" s="14"/>
      <c r="G4" s="14"/>
      <c r="H4" s="14"/>
      <c r="I4" s="14"/>
      <c r="J4" s="14"/>
      <c r="K4" s="14"/>
      <c r="L4" s="14"/>
      <c r="M4" s="14"/>
      <c r="N4" s="14"/>
      <c r="O4" s="3"/>
      <c r="P4" s="3"/>
      <c r="Q4" s="3"/>
      <c r="R4" s="3"/>
      <c r="S4" s="3"/>
      <c r="T4" s="3"/>
      <c r="U4" s="3"/>
      <c r="V4" s="3"/>
      <c r="W4" s="3"/>
      <c r="X4" s="3"/>
      <c r="Y4" s="3"/>
      <c r="Z4" s="3"/>
      <c r="AA4" s="3"/>
      <c r="AB4" s="3"/>
      <c r="AC4" s="3"/>
      <c r="AD4" s="3"/>
      <c r="AE4" s="3"/>
      <c r="AF4" s="3"/>
      <c r="AG4" s="3"/>
      <c r="AH4" s="3"/>
      <c r="AI4" s="3"/>
      <c r="AJ4" s="3"/>
      <c r="AK4" s="3"/>
      <c r="AL4" s="3"/>
    </row>
    <row r="5" spans="1:38" ht="16" x14ac:dyDescent="0.2">
      <c r="A5" s="16" t="str">
        <f>A1</f>
        <v>Indicator 10</v>
      </c>
      <c r="B5" s="3"/>
      <c r="C5" s="17" t="s">
        <v>62</v>
      </c>
      <c r="D5" s="17" t="s">
        <v>63</v>
      </c>
      <c r="E5" s="17" t="s">
        <v>64</v>
      </c>
      <c r="F5" s="17" t="s">
        <v>65</v>
      </c>
      <c r="G5" s="17" t="s">
        <v>62</v>
      </c>
      <c r="H5" s="17" t="s">
        <v>63</v>
      </c>
      <c r="I5" s="17" t="s">
        <v>64</v>
      </c>
      <c r="J5" s="17" t="s">
        <v>65</v>
      </c>
      <c r="K5" s="17" t="s">
        <v>62</v>
      </c>
      <c r="L5" s="17" t="s">
        <v>63</v>
      </c>
      <c r="M5" s="17" t="s">
        <v>64</v>
      </c>
      <c r="N5" s="17" t="s">
        <v>65</v>
      </c>
      <c r="O5" s="17" t="s">
        <v>62</v>
      </c>
      <c r="P5" s="17" t="s">
        <v>63</v>
      </c>
      <c r="Q5" s="17" t="s">
        <v>64</v>
      </c>
      <c r="R5" s="17" t="s">
        <v>65</v>
      </c>
      <c r="S5" s="17" t="s">
        <v>62</v>
      </c>
      <c r="T5" s="17" t="s">
        <v>63</v>
      </c>
      <c r="U5" s="17" t="s">
        <v>64</v>
      </c>
      <c r="V5" s="17" t="s">
        <v>65</v>
      </c>
      <c r="W5" s="17" t="s">
        <v>62</v>
      </c>
      <c r="X5" s="17" t="s">
        <v>63</v>
      </c>
      <c r="Y5" s="17" t="s">
        <v>64</v>
      </c>
      <c r="Z5" s="17" t="s">
        <v>65</v>
      </c>
      <c r="AA5" s="17" t="s">
        <v>62</v>
      </c>
      <c r="AB5" s="58" t="s">
        <v>63</v>
      </c>
      <c r="AC5" s="58" t="s">
        <v>64</v>
      </c>
      <c r="AD5" s="58" t="s">
        <v>65</v>
      </c>
      <c r="AE5" s="58" t="s">
        <v>62</v>
      </c>
      <c r="AF5" s="58" t="s">
        <v>63</v>
      </c>
      <c r="AG5" s="58" t="s">
        <v>64</v>
      </c>
      <c r="AH5" s="58" t="s">
        <v>65</v>
      </c>
      <c r="AI5" s="58" t="s">
        <v>62</v>
      </c>
      <c r="AJ5" s="58" t="s">
        <v>63</v>
      </c>
      <c r="AK5" s="58" t="s">
        <v>64</v>
      </c>
      <c r="AL5" s="58" t="s">
        <v>65</v>
      </c>
    </row>
    <row r="6" spans="1:38" ht="26" x14ac:dyDescent="0.2">
      <c r="A6" s="16"/>
      <c r="B6" s="3"/>
      <c r="C6" s="17" t="s">
        <v>385</v>
      </c>
      <c r="D6" s="17" t="s">
        <v>386</v>
      </c>
      <c r="E6" s="17" t="s">
        <v>387</v>
      </c>
      <c r="F6" s="17" t="s">
        <v>388</v>
      </c>
      <c r="G6" s="17" t="s">
        <v>66</v>
      </c>
      <c r="H6" s="17" t="s">
        <v>67</v>
      </c>
      <c r="I6" s="17" t="s">
        <v>68</v>
      </c>
      <c r="J6" s="17" t="s">
        <v>69</v>
      </c>
      <c r="K6" s="17" t="s">
        <v>70</v>
      </c>
      <c r="L6" s="17" t="s">
        <v>71</v>
      </c>
      <c r="M6" s="17" t="s">
        <v>72</v>
      </c>
      <c r="N6" s="17" t="s">
        <v>73</v>
      </c>
      <c r="O6" s="17" t="s">
        <v>74</v>
      </c>
      <c r="P6" s="17" t="s">
        <v>75</v>
      </c>
      <c r="Q6" s="17" t="s">
        <v>76</v>
      </c>
      <c r="R6" s="17" t="s">
        <v>77</v>
      </c>
      <c r="S6" s="58" t="s">
        <v>321</v>
      </c>
      <c r="T6" s="17" t="s">
        <v>322</v>
      </c>
      <c r="U6" s="17" t="s">
        <v>323</v>
      </c>
      <c r="V6" s="17" t="s">
        <v>324</v>
      </c>
      <c r="W6" s="58" t="s">
        <v>325</v>
      </c>
      <c r="X6" s="17" t="s">
        <v>326</v>
      </c>
      <c r="Y6" s="17" t="s">
        <v>327</v>
      </c>
      <c r="Z6" s="17" t="s">
        <v>328</v>
      </c>
      <c r="AA6" s="17" t="s">
        <v>329</v>
      </c>
      <c r="AB6" s="17" t="s">
        <v>330</v>
      </c>
      <c r="AC6" s="17" t="s">
        <v>331</v>
      </c>
      <c r="AD6" s="17" t="s">
        <v>332</v>
      </c>
      <c r="AE6" s="17" t="s">
        <v>333</v>
      </c>
      <c r="AF6" s="17" t="s">
        <v>334</v>
      </c>
      <c r="AG6" s="17" t="s">
        <v>335</v>
      </c>
      <c r="AH6" s="17" t="s">
        <v>336</v>
      </c>
      <c r="AI6" s="17" t="s">
        <v>337</v>
      </c>
      <c r="AJ6" s="17" t="s">
        <v>338</v>
      </c>
      <c r="AK6" s="17" t="s">
        <v>339</v>
      </c>
      <c r="AL6" s="17" t="s">
        <v>340</v>
      </c>
    </row>
    <row r="7" spans="1:38" ht="31.5" customHeight="1" x14ac:dyDescent="0.2">
      <c r="A7" s="18" t="s">
        <v>188</v>
      </c>
      <c r="B7" s="3"/>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row>
    <row r="8" spans="1:38" ht="31.5" customHeight="1" x14ac:dyDescent="0.2">
      <c r="A8" s="18" t="s">
        <v>189</v>
      </c>
      <c r="B8" s="3"/>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row>
    <row r="9" spans="1:38" ht="31.5" customHeight="1" x14ac:dyDescent="0.2">
      <c r="A9" s="18" t="s">
        <v>190</v>
      </c>
      <c r="B9" s="3"/>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row>
    <row r="10" spans="1:38" ht="31.5" customHeight="1" x14ac:dyDescent="0.2">
      <c r="A10" s="18" t="s">
        <v>191</v>
      </c>
      <c r="B10" s="3"/>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row>
    <row r="11" spans="1:38" ht="31.5" customHeight="1" x14ac:dyDescent="0.2">
      <c r="A11" s="18" t="s">
        <v>192</v>
      </c>
      <c r="B11" s="3"/>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row>
    <row r="12" spans="1:38" ht="31.5" customHeight="1" x14ac:dyDescent="0.2">
      <c r="A12" s="18" t="s">
        <v>193</v>
      </c>
      <c r="B12" s="3"/>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row>
    <row r="13" spans="1:38" ht="15.75" customHeight="1" thickBot="1" x14ac:dyDescent="0.25">
      <c r="A13" s="22" t="s">
        <v>111</v>
      </c>
      <c r="B13" s="3"/>
      <c r="C13" s="43">
        <f t="shared" ref="C13:R13" si="0">SUM(C7:C12)</f>
        <v>0</v>
      </c>
      <c r="D13" s="43">
        <f t="shared" si="0"/>
        <v>0</v>
      </c>
      <c r="E13" s="43">
        <f t="shared" si="0"/>
        <v>0</v>
      </c>
      <c r="F13" s="43">
        <f t="shared" si="0"/>
        <v>0</v>
      </c>
      <c r="G13" s="43">
        <f t="shared" si="0"/>
        <v>0</v>
      </c>
      <c r="H13" s="43">
        <f t="shared" si="0"/>
        <v>0</v>
      </c>
      <c r="I13" s="43">
        <f t="shared" si="0"/>
        <v>0</v>
      </c>
      <c r="J13" s="43">
        <f t="shared" si="0"/>
        <v>0</v>
      </c>
      <c r="K13" s="43">
        <f t="shared" si="0"/>
        <v>0</v>
      </c>
      <c r="L13" s="43">
        <f t="shared" si="0"/>
        <v>0</v>
      </c>
      <c r="M13" s="43">
        <f t="shared" si="0"/>
        <v>0</v>
      </c>
      <c r="N13" s="43">
        <f t="shared" si="0"/>
        <v>0</v>
      </c>
      <c r="O13" s="43">
        <f t="shared" si="0"/>
        <v>0</v>
      </c>
      <c r="P13" s="43">
        <f t="shared" si="0"/>
        <v>0</v>
      </c>
      <c r="Q13" s="43">
        <f t="shared" si="0"/>
        <v>0</v>
      </c>
      <c r="R13" s="43">
        <f t="shared" si="0"/>
        <v>0</v>
      </c>
      <c r="S13" s="43">
        <f t="shared" ref="S13:AL13" si="1">SUM(S7:S12)</f>
        <v>0</v>
      </c>
      <c r="T13" s="43">
        <f t="shared" si="1"/>
        <v>0</v>
      </c>
      <c r="U13" s="43">
        <f t="shared" si="1"/>
        <v>0</v>
      </c>
      <c r="V13" s="43">
        <f t="shared" si="1"/>
        <v>0</v>
      </c>
      <c r="W13" s="43">
        <f t="shared" si="1"/>
        <v>0</v>
      </c>
      <c r="X13" s="43">
        <f t="shared" si="1"/>
        <v>0</v>
      </c>
      <c r="Y13" s="43">
        <f t="shared" si="1"/>
        <v>0</v>
      </c>
      <c r="Z13" s="43">
        <f t="shared" si="1"/>
        <v>0</v>
      </c>
      <c r="AA13" s="43">
        <f t="shared" si="1"/>
        <v>0</v>
      </c>
      <c r="AB13" s="43">
        <f t="shared" si="1"/>
        <v>0</v>
      </c>
      <c r="AC13" s="43">
        <f t="shared" si="1"/>
        <v>0</v>
      </c>
      <c r="AD13" s="43">
        <f t="shared" si="1"/>
        <v>0</v>
      </c>
      <c r="AE13" s="43">
        <f t="shared" si="1"/>
        <v>0</v>
      </c>
      <c r="AF13" s="43">
        <f t="shared" si="1"/>
        <v>0</v>
      </c>
      <c r="AG13" s="43">
        <f t="shared" si="1"/>
        <v>0</v>
      </c>
      <c r="AH13" s="43">
        <f t="shared" si="1"/>
        <v>0</v>
      </c>
      <c r="AI13" s="43">
        <f t="shared" si="1"/>
        <v>0</v>
      </c>
      <c r="AJ13" s="43">
        <f t="shared" si="1"/>
        <v>0</v>
      </c>
      <c r="AK13" s="43">
        <f t="shared" si="1"/>
        <v>0</v>
      </c>
      <c r="AL13" s="43">
        <f t="shared" si="1"/>
        <v>0</v>
      </c>
    </row>
    <row r="14" spans="1:38" ht="15.75" customHeight="1" thickTop="1" x14ac:dyDescent="0.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row>
    <row r="15" spans="1:38" ht="16" x14ac:dyDescent="0.2">
      <c r="A15" s="16" t="str">
        <f>A2</f>
        <v>Indicator 11</v>
      </c>
      <c r="B15" s="3"/>
      <c r="C15" s="17" t="s">
        <v>62</v>
      </c>
      <c r="D15" s="17" t="s">
        <v>63</v>
      </c>
      <c r="E15" s="17" t="s">
        <v>64</v>
      </c>
      <c r="F15" s="17" t="s">
        <v>65</v>
      </c>
      <c r="G15" s="17" t="s">
        <v>62</v>
      </c>
      <c r="H15" s="17" t="s">
        <v>63</v>
      </c>
      <c r="I15" s="17" t="s">
        <v>64</v>
      </c>
      <c r="J15" s="17" t="s">
        <v>65</v>
      </c>
      <c r="K15" s="17" t="s">
        <v>62</v>
      </c>
      <c r="L15" s="17" t="s">
        <v>63</v>
      </c>
      <c r="M15" s="17" t="s">
        <v>64</v>
      </c>
      <c r="N15" s="17" t="s">
        <v>65</v>
      </c>
      <c r="O15" s="17" t="s">
        <v>62</v>
      </c>
      <c r="P15" s="17" t="s">
        <v>63</v>
      </c>
      <c r="Q15" s="17" t="s">
        <v>64</v>
      </c>
      <c r="R15" s="17" t="s">
        <v>65</v>
      </c>
      <c r="S15" s="17" t="s">
        <v>62</v>
      </c>
      <c r="T15" s="17" t="s">
        <v>63</v>
      </c>
      <c r="U15" s="17" t="s">
        <v>64</v>
      </c>
      <c r="V15" s="17" t="s">
        <v>65</v>
      </c>
      <c r="W15" s="17" t="s">
        <v>62</v>
      </c>
      <c r="X15" s="17" t="s">
        <v>63</v>
      </c>
      <c r="Y15" s="17" t="s">
        <v>64</v>
      </c>
      <c r="Z15" s="17" t="s">
        <v>65</v>
      </c>
      <c r="AA15" s="17" t="s">
        <v>62</v>
      </c>
      <c r="AB15" s="58" t="s">
        <v>63</v>
      </c>
      <c r="AC15" s="58" t="s">
        <v>64</v>
      </c>
      <c r="AD15" s="58" t="s">
        <v>65</v>
      </c>
      <c r="AE15" s="58" t="s">
        <v>62</v>
      </c>
      <c r="AF15" s="58" t="s">
        <v>63</v>
      </c>
      <c r="AG15" s="58" t="s">
        <v>64</v>
      </c>
      <c r="AH15" s="58" t="s">
        <v>65</v>
      </c>
      <c r="AI15" s="58" t="s">
        <v>62</v>
      </c>
      <c r="AJ15" s="58" t="s">
        <v>63</v>
      </c>
      <c r="AK15" s="58" t="s">
        <v>64</v>
      </c>
      <c r="AL15" s="58" t="s">
        <v>65</v>
      </c>
    </row>
    <row r="16" spans="1:38" ht="26" x14ac:dyDescent="0.2">
      <c r="A16" s="16"/>
      <c r="B16" s="3"/>
      <c r="C16" s="17" t="s">
        <v>385</v>
      </c>
      <c r="D16" s="17" t="s">
        <v>386</v>
      </c>
      <c r="E16" s="17" t="s">
        <v>387</v>
      </c>
      <c r="F16" s="17" t="s">
        <v>388</v>
      </c>
      <c r="G16" s="17" t="s">
        <v>66</v>
      </c>
      <c r="H16" s="17" t="s">
        <v>67</v>
      </c>
      <c r="I16" s="17" t="s">
        <v>68</v>
      </c>
      <c r="J16" s="17" t="s">
        <v>69</v>
      </c>
      <c r="K16" s="17" t="s">
        <v>70</v>
      </c>
      <c r="L16" s="17" t="s">
        <v>71</v>
      </c>
      <c r="M16" s="17" t="s">
        <v>72</v>
      </c>
      <c r="N16" s="17" t="s">
        <v>73</v>
      </c>
      <c r="O16" s="17" t="s">
        <v>74</v>
      </c>
      <c r="P16" s="17" t="s">
        <v>75</v>
      </c>
      <c r="Q16" s="17" t="s">
        <v>76</v>
      </c>
      <c r="R16" s="17" t="s">
        <v>77</v>
      </c>
      <c r="S16" s="58" t="s">
        <v>321</v>
      </c>
      <c r="T16" s="17" t="s">
        <v>322</v>
      </c>
      <c r="U16" s="17" t="s">
        <v>323</v>
      </c>
      <c r="V16" s="17" t="s">
        <v>324</v>
      </c>
      <c r="W16" s="58" t="s">
        <v>325</v>
      </c>
      <c r="X16" s="17" t="s">
        <v>326</v>
      </c>
      <c r="Y16" s="17" t="s">
        <v>327</v>
      </c>
      <c r="Z16" s="17" t="s">
        <v>328</v>
      </c>
      <c r="AA16" s="17" t="s">
        <v>329</v>
      </c>
      <c r="AB16" s="17" t="s">
        <v>330</v>
      </c>
      <c r="AC16" s="17" t="s">
        <v>331</v>
      </c>
      <c r="AD16" s="17" t="s">
        <v>332</v>
      </c>
      <c r="AE16" s="17" t="s">
        <v>333</v>
      </c>
      <c r="AF16" s="17" t="s">
        <v>334</v>
      </c>
      <c r="AG16" s="17" t="s">
        <v>335</v>
      </c>
      <c r="AH16" s="17" t="s">
        <v>336</v>
      </c>
      <c r="AI16" s="17" t="s">
        <v>337</v>
      </c>
      <c r="AJ16" s="17" t="s">
        <v>338</v>
      </c>
      <c r="AK16" s="17" t="s">
        <v>339</v>
      </c>
      <c r="AL16" s="17" t="s">
        <v>340</v>
      </c>
    </row>
    <row r="17" spans="1:38" ht="31.5" customHeight="1" x14ac:dyDescent="0.2">
      <c r="A17" s="18" t="s">
        <v>188</v>
      </c>
      <c r="B17" s="3"/>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row>
    <row r="18" spans="1:38" ht="31.5" customHeight="1" x14ac:dyDescent="0.2">
      <c r="A18" s="18" t="s">
        <v>189</v>
      </c>
      <c r="B18" s="3"/>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row>
    <row r="19" spans="1:38" ht="31.5" customHeight="1" x14ac:dyDescent="0.2">
      <c r="A19" s="18" t="s">
        <v>190</v>
      </c>
      <c r="B19" s="3"/>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row>
    <row r="20" spans="1:38" ht="31.5" customHeight="1" x14ac:dyDescent="0.2">
      <c r="A20" s="18" t="s">
        <v>191</v>
      </c>
      <c r="B20" s="3"/>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row>
    <row r="21" spans="1:38" ht="31.5" customHeight="1" x14ac:dyDescent="0.2">
      <c r="A21" s="18" t="s">
        <v>192</v>
      </c>
      <c r="B21" s="3"/>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row>
    <row r="22" spans="1:38" ht="31.5" customHeight="1" x14ac:dyDescent="0.2">
      <c r="A22" s="18" t="s">
        <v>193</v>
      </c>
      <c r="B22" s="3"/>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row>
    <row r="23" spans="1:38" ht="15.75" customHeight="1" thickBot="1" x14ac:dyDescent="0.25">
      <c r="A23" s="22" t="s">
        <v>111</v>
      </c>
      <c r="B23" s="3"/>
      <c r="C23" s="43">
        <f t="shared" ref="C23:R23" si="2">SUM(C17:C22)</f>
        <v>0</v>
      </c>
      <c r="D23" s="43">
        <f t="shared" si="2"/>
        <v>0</v>
      </c>
      <c r="E23" s="43">
        <f t="shared" si="2"/>
        <v>0</v>
      </c>
      <c r="F23" s="43">
        <f t="shared" si="2"/>
        <v>0</v>
      </c>
      <c r="G23" s="43">
        <f t="shared" si="2"/>
        <v>0</v>
      </c>
      <c r="H23" s="43">
        <f t="shared" si="2"/>
        <v>0</v>
      </c>
      <c r="I23" s="43">
        <f t="shared" si="2"/>
        <v>0</v>
      </c>
      <c r="J23" s="43">
        <f t="shared" si="2"/>
        <v>0</v>
      </c>
      <c r="K23" s="43">
        <f t="shared" si="2"/>
        <v>0</v>
      </c>
      <c r="L23" s="43">
        <f t="shared" si="2"/>
        <v>0</v>
      </c>
      <c r="M23" s="43">
        <f t="shared" si="2"/>
        <v>0</v>
      </c>
      <c r="N23" s="43">
        <f t="shared" si="2"/>
        <v>0</v>
      </c>
      <c r="O23" s="43">
        <f t="shared" si="2"/>
        <v>0</v>
      </c>
      <c r="P23" s="43">
        <f t="shared" si="2"/>
        <v>0</v>
      </c>
      <c r="Q23" s="43">
        <f t="shared" si="2"/>
        <v>0</v>
      </c>
      <c r="R23" s="43">
        <f t="shared" si="2"/>
        <v>0</v>
      </c>
      <c r="S23" s="43">
        <f t="shared" ref="S23:AL23" si="3">SUM(S17:S22)</f>
        <v>0</v>
      </c>
      <c r="T23" s="43">
        <f t="shared" si="3"/>
        <v>0</v>
      </c>
      <c r="U23" s="43">
        <f t="shared" si="3"/>
        <v>0</v>
      </c>
      <c r="V23" s="43">
        <f t="shared" si="3"/>
        <v>0</v>
      </c>
      <c r="W23" s="43">
        <f t="shared" si="3"/>
        <v>0</v>
      </c>
      <c r="X23" s="43">
        <f t="shared" si="3"/>
        <v>0</v>
      </c>
      <c r="Y23" s="43">
        <f t="shared" si="3"/>
        <v>0</v>
      </c>
      <c r="Z23" s="43">
        <f t="shared" si="3"/>
        <v>0</v>
      </c>
      <c r="AA23" s="43">
        <f t="shared" si="3"/>
        <v>0</v>
      </c>
      <c r="AB23" s="43">
        <f t="shared" si="3"/>
        <v>0</v>
      </c>
      <c r="AC23" s="43">
        <f t="shared" si="3"/>
        <v>0</v>
      </c>
      <c r="AD23" s="43">
        <f t="shared" si="3"/>
        <v>0</v>
      </c>
      <c r="AE23" s="43">
        <f t="shared" si="3"/>
        <v>0</v>
      </c>
      <c r="AF23" s="43">
        <f t="shared" si="3"/>
        <v>0</v>
      </c>
      <c r="AG23" s="43">
        <f t="shared" si="3"/>
        <v>0</v>
      </c>
      <c r="AH23" s="43">
        <f t="shared" si="3"/>
        <v>0</v>
      </c>
      <c r="AI23" s="43">
        <f t="shared" si="3"/>
        <v>0</v>
      </c>
      <c r="AJ23" s="43">
        <f t="shared" si="3"/>
        <v>0</v>
      </c>
      <c r="AK23" s="43">
        <f t="shared" si="3"/>
        <v>0</v>
      </c>
      <c r="AL23" s="43">
        <f t="shared" si="3"/>
        <v>0</v>
      </c>
    </row>
    <row r="24" spans="1:38" ht="15.75" customHeight="1" thickTop="1"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row>
    <row r="25" spans="1:38" ht="32" x14ac:dyDescent="0.2">
      <c r="A25" s="61" t="s">
        <v>362</v>
      </c>
      <c r="B25" s="3"/>
      <c r="C25" s="3" t="b">
        <f>AND(EXACT(C13,'2-3 INQUIRIES'!C7))</f>
        <v>0</v>
      </c>
      <c r="D25" s="3" t="b">
        <f>AND(EXACT(D13,'2-3 INQUIRIES'!D7))</f>
        <v>0</v>
      </c>
      <c r="E25" s="3" t="b">
        <f>AND(EXACT(E13,'2-3 INQUIRIES'!E7))</f>
        <v>0</v>
      </c>
      <c r="F25" s="3" t="b">
        <f>AND(EXACT(F13,'2-3 INQUIRIES'!F7))</f>
        <v>0</v>
      </c>
      <c r="G25" s="3" t="b">
        <f>AND(EXACT(G13,'2-3 INQUIRIES'!G7))</f>
        <v>0</v>
      </c>
      <c r="H25" s="3" t="b">
        <f>AND(EXACT(H13,'2-3 INQUIRIES'!H7))</f>
        <v>0</v>
      </c>
      <c r="I25" s="3" t="b">
        <f>AND(EXACT(I13,'2-3 INQUIRIES'!I7))</f>
        <v>0</v>
      </c>
      <c r="J25" s="3" t="b">
        <f>AND(EXACT(J13,'2-3 INQUIRIES'!J7))</f>
        <v>0</v>
      </c>
      <c r="K25" s="3" t="b">
        <f>AND(EXACT(K13,'2-3 INQUIRIES'!K7))</f>
        <v>0</v>
      </c>
      <c r="L25" s="3" t="b">
        <f>AND(EXACT(L13,'2-3 INQUIRIES'!L7))</f>
        <v>0</v>
      </c>
      <c r="M25" s="3" t="b">
        <f>AND(EXACT(M13,'2-3 INQUIRIES'!M7))</f>
        <v>0</v>
      </c>
      <c r="N25" s="3" t="b">
        <f>AND(EXACT(N13,'2-3 INQUIRIES'!N7))</f>
        <v>0</v>
      </c>
      <c r="O25" s="3" t="b">
        <f>AND(EXACT(O13,'2-3 INQUIRIES'!O7))</f>
        <v>0</v>
      </c>
      <c r="P25" s="3" t="b">
        <f>AND(EXACT(P13,'2-3 INQUIRIES'!P7))</f>
        <v>0</v>
      </c>
      <c r="Q25" s="3" t="b">
        <f>AND(EXACT(Q13,'2-3 INQUIRIES'!Q7))</f>
        <v>0</v>
      </c>
      <c r="R25" s="3" t="b">
        <f>AND(EXACT(R13,'2-3 INQUIRIES'!R7))</f>
        <v>0</v>
      </c>
      <c r="S25" s="3" t="b">
        <f>AND(EXACT(S13,'2-3 INQUIRIES'!S7))</f>
        <v>0</v>
      </c>
      <c r="T25" s="3" t="b">
        <f>AND(EXACT(T13,'2-3 INQUIRIES'!T7))</f>
        <v>0</v>
      </c>
      <c r="U25" s="3" t="b">
        <f>AND(EXACT(U13,'2-3 INQUIRIES'!U7))</f>
        <v>0</v>
      </c>
      <c r="V25" s="3" t="b">
        <f>AND(EXACT(V13,'2-3 INQUIRIES'!V7))</f>
        <v>0</v>
      </c>
      <c r="W25" s="3" t="b">
        <f>AND(EXACT(W13,'2-3 INQUIRIES'!W7))</f>
        <v>0</v>
      </c>
      <c r="X25" s="3" t="b">
        <f>AND(EXACT(X13,'2-3 INQUIRIES'!X7))</f>
        <v>0</v>
      </c>
      <c r="Y25" s="3" t="b">
        <f>AND(EXACT(Y13,'2-3 INQUIRIES'!Y7))</f>
        <v>0</v>
      </c>
      <c r="Z25" s="3" t="b">
        <f>AND(EXACT(Z13,'2-3 INQUIRIES'!Z7))</f>
        <v>0</v>
      </c>
      <c r="AA25" s="3" t="b">
        <f>AND(EXACT(AA13,'2-3 INQUIRIES'!AA7))</f>
        <v>0</v>
      </c>
      <c r="AB25" s="3" t="b">
        <f>AND(EXACT(AB13,'2-3 INQUIRIES'!AB7))</f>
        <v>0</v>
      </c>
      <c r="AC25" s="3" t="b">
        <f>AND(EXACT(AC13,'2-3 INQUIRIES'!AC7))</f>
        <v>0</v>
      </c>
      <c r="AD25" s="3" t="b">
        <f>AND(EXACT(AD13,'2-3 INQUIRIES'!AD7))</f>
        <v>0</v>
      </c>
      <c r="AE25" s="3" t="b">
        <f>AND(EXACT(AE13,'2-3 INQUIRIES'!AE7))</f>
        <v>0</v>
      </c>
      <c r="AF25" s="3" t="b">
        <f>AND(EXACT(AF13,'2-3 INQUIRIES'!AF7))</f>
        <v>0</v>
      </c>
      <c r="AG25" s="3" t="b">
        <f>AND(EXACT(AG13,'2-3 INQUIRIES'!AG7))</f>
        <v>0</v>
      </c>
      <c r="AH25" s="3" t="b">
        <f>AND(EXACT(AH13,'2-3 INQUIRIES'!AH7))</f>
        <v>0</v>
      </c>
      <c r="AI25" s="3" t="b">
        <f>AND(EXACT(AI13,'2-3 INQUIRIES'!AI7))</f>
        <v>0</v>
      </c>
      <c r="AJ25" s="3" t="b">
        <f>AND(EXACT(AJ13,'2-3 INQUIRIES'!AJ7))</f>
        <v>0</v>
      </c>
      <c r="AK25" s="3" t="b">
        <f>AND(EXACT(AK13,'2-3 INQUIRIES'!AK7))</f>
        <v>0</v>
      </c>
      <c r="AL25" s="3" t="b">
        <f>AND(EXACT(AL13,'2-3 INQUIRIES'!AL7))</f>
        <v>0</v>
      </c>
    </row>
    <row r="26" spans="1:38" ht="32" x14ac:dyDescent="0.2">
      <c r="A26" s="61" t="s">
        <v>363</v>
      </c>
      <c r="B26" s="3"/>
      <c r="C26" s="3" t="b">
        <f>AND(EXACT(C23,'2-3 INQUIRIES'!C11))</f>
        <v>0</v>
      </c>
      <c r="D26" s="3" t="b">
        <f>AND(EXACT(D23,'2-3 INQUIRIES'!D11))</f>
        <v>0</v>
      </c>
      <c r="E26" s="3" t="b">
        <f>AND(EXACT(E23,'2-3 INQUIRIES'!E11))</f>
        <v>0</v>
      </c>
      <c r="F26" s="3" t="b">
        <f>AND(EXACT(F23,'2-3 INQUIRIES'!F11))</f>
        <v>0</v>
      </c>
      <c r="G26" s="3" t="b">
        <f>AND(EXACT(G23,'2-3 INQUIRIES'!G11))</f>
        <v>0</v>
      </c>
      <c r="H26" s="3" t="b">
        <f>AND(EXACT(H23,'2-3 INQUIRIES'!H11))</f>
        <v>0</v>
      </c>
      <c r="I26" s="3" t="b">
        <f>AND(EXACT(I23,'2-3 INQUIRIES'!I11))</f>
        <v>0</v>
      </c>
      <c r="J26" s="3" t="b">
        <f>AND(EXACT(J23,'2-3 INQUIRIES'!J11))</f>
        <v>0</v>
      </c>
      <c r="K26" s="3" t="b">
        <f>AND(EXACT(K23,'2-3 INQUIRIES'!K11))</f>
        <v>0</v>
      </c>
      <c r="L26" s="3" t="b">
        <f>AND(EXACT(L23,'2-3 INQUIRIES'!L11))</f>
        <v>0</v>
      </c>
      <c r="M26" s="3" t="b">
        <f>AND(EXACT(M23,'2-3 INQUIRIES'!M11))</f>
        <v>0</v>
      </c>
      <c r="N26" s="3" t="b">
        <f>AND(EXACT(N23,'2-3 INQUIRIES'!N11))</f>
        <v>0</v>
      </c>
      <c r="O26" s="3" t="b">
        <f>AND(EXACT(O23,'2-3 INQUIRIES'!O11))</f>
        <v>0</v>
      </c>
      <c r="P26" s="3" t="b">
        <f>AND(EXACT(P23,'2-3 INQUIRIES'!P11))</f>
        <v>0</v>
      </c>
      <c r="Q26" s="3" t="b">
        <f>AND(EXACT(Q23,'2-3 INQUIRIES'!Q11))</f>
        <v>0</v>
      </c>
      <c r="R26" s="3" t="b">
        <f>AND(EXACT(R23,'2-3 INQUIRIES'!R11))</f>
        <v>0</v>
      </c>
      <c r="S26" s="3" t="b">
        <f>AND(EXACT(S23,'2-3 INQUIRIES'!S11))</f>
        <v>0</v>
      </c>
      <c r="T26" s="3" t="b">
        <f>AND(EXACT(T23,'2-3 INQUIRIES'!T11))</f>
        <v>0</v>
      </c>
      <c r="U26" s="3" t="b">
        <f>AND(EXACT(U23,'2-3 INQUIRIES'!U11))</f>
        <v>0</v>
      </c>
      <c r="V26" s="3" t="b">
        <f>AND(EXACT(V23,'2-3 INQUIRIES'!V11))</f>
        <v>0</v>
      </c>
      <c r="W26" s="3" t="b">
        <f>AND(EXACT(W23,'2-3 INQUIRIES'!W11))</f>
        <v>0</v>
      </c>
      <c r="X26" s="3" t="b">
        <f>AND(EXACT(X23,'2-3 INQUIRIES'!X11))</f>
        <v>0</v>
      </c>
      <c r="Y26" s="3" t="b">
        <f>AND(EXACT(Y23,'2-3 INQUIRIES'!Y11))</f>
        <v>0</v>
      </c>
      <c r="Z26" s="3" t="b">
        <f>AND(EXACT(Z23,'2-3 INQUIRIES'!Z11))</f>
        <v>0</v>
      </c>
      <c r="AA26" s="3" t="b">
        <f>AND(EXACT(AA23,'2-3 INQUIRIES'!AA11))</f>
        <v>0</v>
      </c>
      <c r="AB26" s="3" t="b">
        <f>AND(EXACT(AB23,'2-3 INQUIRIES'!AB11))</f>
        <v>0</v>
      </c>
      <c r="AC26" s="3" t="b">
        <f>AND(EXACT(AC23,'2-3 INQUIRIES'!AC11))</f>
        <v>0</v>
      </c>
      <c r="AD26" s="3" t="b">
        <f>AND(EXACT(AD23,'2-3 INQUIRIES'!AD11))</f>
        <v>0</v>
      </c>
      <c r="AE26" s="3" t="b">
        <f>AND(EXACT(AE23,'2-3 INQUIRIES'!AE11))</f>
        <v>0</v>
      </c>
      <c r="AF26" s="3" t="b">
        <f>AND(EXACT(AF23,'2-3 INQUIRIES'!AF11))</f>
        <v>0</v>
      </c>
      <c r="AG26" s="3" t="b">
        <f>AND(EXACT(AG23,'2-3 INQUIRIES'!AG11))</f>
        <v>0</v>
      </c>
      <c r="AH26" s="3" t="b">
        <f>AND(EXACT(AH23,'2-3 INQUIRIES'!AH11))</f>
        <v>0</v>
      </c>
      <c r="AI26" s="3" t="b">
        <f>AND(EXACT(AI23,'2-3 INQUIRIES'!AI11))</f>
        <v>0</v>
      </c>
      <c r="AJ26" s="3" t="b">
        <f>AND(EXACT(AJ13,'2-3 INQUIRIES'!AJ11))</f>
        <v>0</v>
      </c>
      <c r="AK26" s="3" t="b">
        <f>AND(EXACT(AK13,'2-3 INQUIRIES'!AK11))</f>
        <v>0</v>
      </c>
      <c r="AL26" s="3" t="b">
        <f>AND(EXACT(AL13,'2-3 INQUIRIES'!AL11))</f>
        <v>0</v>
      </c>
    </row>
    <row r="27" spans="1:38" ht="15.75" customHeight="1" x14ac:dyDescent="0.2">
      <c r="A27" s="15" t="s">
        <v>115</v>
      </c>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row>
    <row r="28" spans="1:38" ht="111.75" customHeight="1" x14ac:dyDescent="0.2">
      <c r="A28" s="4" t="s">
        <v>116</v>
      </c>
      <c r="B28" s="3"/>
      <c r="C28" s="85"/>
      <c r="D28" s="86"/>
      <c r="E28" s="86"/>
      <c r="F28" s="86"/>
      <c r="G28" s="86"/>
      <c r="H28" s="86"/>
      <c r="I28" s="86"/>
      <c r="J28" s="86"/>
      <c r="K28" s="86"/>
      <c r="L28" s="86"/>
      <c r="M28" s="86"/>
      <c r="N28" s="86"/>
      <c r="O28" s="86"/>
      <c r="P28" s="86"/>
      <c r="Q28" s="86"/>
      <c r="R28" s="86"/>
      <c r="S28" s="86"/>
      <c r="T28" s="87"/>
      <c r="U28" s="3"/>
      <c r="V28" s="3"/>
      <c r="W28" s="3"/>
      <c r="X28" s="3"/>
      <c r="Y28" s="3"/>
      <c r="Z28" s="3"/>
      <c r="AA28" s="3"/>
      <c r="AB28" s="3"/>
      <c r="AC28" s="3"/>
      <c r="AD28" s="3"/>
      <c r="AE28" s="3"/>
      <c r="AF28" s="3"/>
      <c r="AG28" s="3"/>
      <c r="AH28" s="3"/>
      <c r="AI28" s="3"/>
      <c r="AJ28" s="3"/>
      <c r="AK28" s="3"/>
      <c r="AL28" s="3"/>
    </row>
    <row r="29" spans="1:38" ht="31.5" customHeight="1" x14ac:dyDescent="0.2">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row>
    <row r="30" spans="1:38" ht="31.5" customHeight="1" x14ac:dyDescent="0.2">
      <c r="A30" s="15" t="s">
        <v>320</v>
      </c>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row>
    <row r="31" spans="1:38" ht="310" customHeight="1" x14ac:dyDescent="0.2">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row>
    <row r="32" spans="1:38" ht="17" customHeight="1" x14ac:dyDescent="0.2">
      <c r="A32" s="29"/>
      <c r="B32" s="29"/>
      <c r="C32" s="29"/>
      <c r="D32" s="29"/>
      <c r="E32" s="29"/>
      <c r="F32" s="29"/>
      <c r="G32" s="29"/>
      <c r="H32" s="29"/>
      <c r="I32" s="29"/>
      <c r="J32" s="29"/>
      <c r="K32" s="29"/>
      <c r="L32" s="29"/>
      <c r="M32" s="29"/>
      <c r="N32" s="29"/>
      <c r="O32" s="29"/>
      <c r="P32" s="29"/>
      <c r="Q32" s="29"/>
      <c r="R32" s="29"/>
      <c r="S32" s="29"/>
      <c r="T32" s="29"/>
      <c r="U32" s="3"/>
      <c r="V32" s="3"/>
      <c r="W32" s="3"/>
      <c r="X32" s="3"/>
      <c r="Y32" s="3"/>
      <c r="Z32" s="3"/>
      <c r="AA32" s="3"/>
      <c r="AB32" s="3"/>
      <c r="AC32" s="3"/>
      <c r="AD32" s="3"/>
      <c r="AE32" s="3"/>
      <c r="AF32" s="3"/>
      <c r="AG32" s="3"/>
      <c r="AH32" s="3"/>
      <c r="AI32" s="3"/>
      <c r="AJ32" s="3"/>
      <c r="AK32" s="3"/>
      <c r="AL32" s="3"/>
    </row>
    <row r="33" spans="1:38" ht="17.25" customHeight="1" x14ac:dyDescent="0.2">
      <c r="A33" s="15" t="s">
        <v>117</v>
      </c>
      <c r="B33" s="3"/>
      <c r="C33" s="25"/>
      <c r="D33" s="25"/>
      <c r="E33" s="25"/>
      <c r="F33" s="25"/>
      <c r="G33" s="25"/>
      <c r="H33" s="25"/>
      <c r="I33" s="25"/>
      <c r="J33" s="25"/>
      <c r="K33" s="25"/>
      <c r="L33" s="25"/>
      <c r="M33" s="25"/>
      <c r="N33" s="25"/>
      <c r="O33" s="3"/>
      <c r="P33" s="3"/>
      <c r="Q33" s="3"/>
      <c r="R33" s="3"/>
      <c r="S33" s="3"/>
      <c r="T33" s="3"/>
      <c r="U33" s="3"/>
      <c r="V33" s="3"/>
      <c r="W33" s="3"/>
      <c r="X33" s="3"/>
      <c r="Y33" s="3"/>
      <c r="Z33" s="3"/>
      <c r="AA33" s="3"/>
      <c r="AB33" s="3"/>
      <c r="AC33" s="3"/>
      <c r="AD33" s="3"/>
      <c r="AE33" s="3"/>
      <c r="AF33" s="3"/>
      <c r="AG33" s="3"/>
      <c r="AH33" s="3"/>
      <c r="AI33" s="3"/>
      <c r="AJ33" s="3"/>
      <c r="AK33" s="3"/>
      <c r="AL33" s="3"/>
    </row>
    <row r="34" spans="1:38" ht="180" customHeight="1" x14ac:dyDescent="0.2">
      <c r="A34" s="31" t="str">
        <f>(A1&amp;" – "&amp;A2)</f>
        <v>Indicator 10 – Indicator 11</v>
      </c>
      <c r="B34" s="3"/>
      <c r="C34" s="82" t="s">
        <v>194</v>
      </c>
      <c r="D34" s="83"/>
      <c r="E34" s="83"/>
      <c r="F34" s="83"/>
      <c r="G34" s="83"/>
      <c r="H34" s="83"/>
      <c r="I34" s="83"/>
      <c r="J34" s="83"/>
      <c r="K34" s="83"/>
      <c r="L34" s="83"/>
      <c r="M34" s="83"/>
      <c r="N34" s="83"/>
      <c r="O34" s="3"/>
      <c r="P34" s="3"/>
      <c r="Q34" s="3"/>
      <c r="R34" s="3"/>
      <c r="S34" s="3"/>
      <c r="T34" s="3"/>
      <c r="U34" s="3"/>
      <c r="V34" s="3"/>
      <c r="W34" s="3"/>
      <c r="X34" s="3"/>
      <c r="Y34" s="3"/>
      <c r="Z34" s="3"/>
      <c r="AA34" s="3"/>
      <c r="AB34" s="3"/>
      <c r="AC34" s="3"/>
      <c r="AD34" s="3"/>
      <c r="AE34" s="3"/>
      <c r="AF34" s="3"/>
      <c r="AG34" s="3"/>
      <c r="AH34" s="3"/>
      <c r="AI34" s="3"/>
      <c r="AJ34" s="3"/>
      <c r="AK34" s="3"/>
      <c r="AL34" s="3"/>
    </row>
    <row r="35" spans="1:38" ht="42" customHeight="1" x14ac:dyDescent="0.2">
      <c r="A35" s="41" t="s">
        <v>195</v>
      </c>
      <c r="B35" s="3"/>
      <c r="C35" s="82" t="s">
        <v>196</v>
      </c>
      <c r="D35" s="83"/>
      <c r="E35" s="83"/>
      <c r="F35" s="83"/>
      <c r="G35" s="83"/>
      <c r="H35" s="83"/>
      <c r="I35" s="83"/>
      <c r="J35" s="83"/>
      <c r="K35" s="83"/>
      <c r="L35" s="83"/>
      <c r="M35" s="83"/>
      <c r="N35" s="83"/>
      <c r="O35" s="3"/>
      <c r="P35" s="3"/>
      <c r="Q35" s="3"/>
      <c r="R35" s="3"/>
      <c r="S35" s="3"/>
      <c r="T35" s="3"/>
      <c r="U35" s="3"/>
      <c r="V35" s="3"/>
      <c r="W35" s="3"/>
      <c r="X35" s="3"/>
      <c r="Y35" s="3"/>
      <c r="Z35" s="3"/>
      <c r="AA35" s="3"/>
      <c r="AB35" s="3"/>
      <c r="AC35" s="3"/>
      <c r="AD35" s="3"/>
      <c r="AE35" s="3"/>
      <c r="AF35" s="3"/>
      <c r="AG35" s="3"/>
      <c r="AH35" s="3"/>
      <c r="AI35" s="3"/>
      <c r="AJ35" s="3"/>
      <c r="AK35" s="3"/>
      <c r="AL35" s="3"/>
    </row>
    <row r="36" spans="1:38" ht="90" hidden="1" customHeight="1" x14ac:dyDescent="0.2">
      <c r="A36" s="41"/>
      <c r="B36" s="3"/>
      <c r="C36" s="32"/>
      <c r="O36" s="3"/>
      <c r="P36" s="3"/>
      <c r="Q36" s="3"/>
      <c r="R36" s="3"/>
      <c r="S36" s="3"/>
      <c r="T36" s="3"/>
      <c r="U36" s="3"/>
      <c r="V36" s="3"/>
      <c r="W36" s="3"/>
      <c r="X36" s="3"/>
      <c r="Y36" s="3"/>
      <c r="Z36" s="3"/>
      <c r="AA36" s="3"/>
      <c r="AB36" s="3"/>
      <c r="AC36" s="3"/>
      <c r="AD36" s="3"/>
      <c r="AE36" s="3"/>
      <c r="AF36" s="3"/>
      <c r="AG36" s="3"/>
      <c r="AH36" s="3"/>
      <c r="AI36" s="3"/>
      <c r="AJ36" s="3"/>
      <c r="AK36" s="3"/>
      <c r="AL36" s="3"/>
    </row>
    <row r="37" spans="1:38" ht="252" customHeight="1" x14ac:dyDescent="0.2">
      <c r="A37" s="41" t="s">
        <v>191</v>
      </c>
      <c r="B37" s="3"/>
      <c r="C37" s="102" t="s">
        <v>197</v>
      </c>
      <c r="D37" s="83"/>
      <c r="E37" s="83"/>
      <c r="F37" s="83"/>
      <c r="G37" s="83"/>
      <c r="H37" s="83"/>
      <c r="I37" s="83"/>
      <c r="J37" s="83"/>
      <c r="K37" s="83"/>
      <c r="L37" s="83"/>
      <c r="M37" s="83"/>
      <c r="N37" s="83"/>
      <c r="O37" s="3"/>
      <c r="P37" s="3"/>
      <c r="Q37" s="3"/>
      <c r="R37" s="3"/>
      <c r="S37" s="3"/>
      <c r="T37" s="3"/>
      <c r="U37" s="3"/>
      <c r="V37" s="3"/>
      <c r="W37" s="3"/>
      <c r="X37" s="3"/>
      <c r="Y37" s="3"/>
      <c r="Z37" s="3"/>
      <c r="AA37" s="3"/>
      <c r="AB37" s="3"/>
      <c r="AC37" s="3"/>
      <c r="AD37" s="3"/>
      <c r="AE37" s="3"/>
      <c r="AF37" s="3"/>
      <c r="AG37" s="3"/>
      <c r="AH37" s="3"/>
      <c r="AI37" s="3"/>
      <c r="AJ37" s="3"/>
      <c r="AK37" s="3"/>
      <c r="AL37" s="3"/>
    </row>
    <row r="38" spans="1:38" ht="120.75" customHeight="1" x14ac:dyDescent="0.2">
      <c r="A38" s="41" t="s">
        <v>192</v>
      </c>
      <c r="B38" s="3"/>
      <c r="C38" s="82" t="s">
        <v>198</v>
      </c>
      <c r="D38" s="83"/>
      <c r="E38" s="83"/>
      <c r="F38" s="83"/>
      <c r="G38" s="83"/>
      <c r="H38" s="83"/>
      <c r="I38" s="83"/>
      <c r="J38" s="83"/>
      <c r="K38" s="83"/>
      <c r="L38" s="83"/>
      <c r="M38" s="83"/>
      <c r="N38" s="83"/>
      <c r="O38" s="3"/>
      <c r="P38" s="3"/>
      <c r="Q38" s="3"/>
      <c r="R38" s="3"/>
      <c r="S38" s="3"/>
      <c r="T38" s="3"/>
      <c r="U38" s="3"/>
      <c r="V38" s="3"/>
      <c r="W38" s="3"/>
      <c r="X38" s="3"/>
      <c r="Y38" s="3"/>
      <c r="Z38" s="3"/>
      <c r="AA38" s="3"/>
      <c r="AB38" s="3"/>
      <c r="AC38" s="3"/>
      <c r="AD38" s="3"/>
      <c r="AE38" s="3"/>
      <c r="AF38" s="3"/>
      <c r="AG38" s="3"/>
      <c r="AH38" s="3"/>
      <c r="AI38" s="3"/>
      <c r="AJ38" s="3"/>
      <c r="AK38" s="3"/>
      <c r="AL38" s="3"/>
    </row>
    <row r="39" spans="1:38" ht="17.25" customHeight="1" x14ac:dyDescent="0.2">
      <c r="A39" s="44"/>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row>
    <row r="40" spans="1:38" ht="17.25" customHeight="1" x14ac:dyDescent="0.2">
      <c r="A40" s="15" t="s">
        <v>119</v>
      </c>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row>
    <row r="41" spans="1:38" ht="255.75" customHeight="1" x14ac:dyDescent="0.2">
      <c r="A41" s="31" t="s">
        <v>150</v>
      </c>
      <c r="B41" s="3"/>
      <c r="C41" s="82" t="s">
        <v>199</v>
      </c>
      <c r="D41" s="83"/>
      <c r="E41" s="83"/>
      <c r="F41" s="83"/>
      <c r="G41" s="83"/>
      <c r="H41" s="83"/>
      <c r="I41" s="83"/>
      <c r="J41" s="83"/>
      <c r="K41" s="83"/>
      <c r="L41" s="83"/>
      <c r="M41" s="83"/>
      <c r="N41" s="83"/>
      <c r="O41" s="3"/>
      <c r="P41" s="3"/>
      <c r="Q41" s="3"/>
      <c r="R41" s="3"/>
      <c r="S41" s="3"/>
      <c r="T41" s="3"/>
      <c r="U41" s="3"/>
      <c r="V41" s="3"/>
      <c r="W41" s="3"/>
      <c r="X41" s="3"/>
      <c r="Y41" s="3"/>
      <c r="Z41" s="3"/>
      <c r="AA41" s="3"/>
      <c r="AB41" s="3"/>
      <c r="AC41" s="3"/>
      <c r="AD41" s="3"/>
      <c r="AE41" s="3"/>
      <c r="AF41" s="3"/>
      <c r="AG41" s="3"/>
      <c r="AH41" s="3"/>
      <c r="AI41" s="3"/>
      <c r="AJ41" s="3"/>
      <c r="AK41" s="3"/>
      <c r="AL41" s="3"/>
    </row>
    <row r="42" spans="1:38" ht="15.75" customHeight="1" x14ac:dyDescent="0.2">
      <c r="A42" s="3"/>
      <c r="B42" s="3"/>
      <c r="C42" s="32"/>
      <c r="D42" s="32"/>
      <c r="E42" s="32"/>
      <c r="F42" s="32"/>
      <c r="G42" s="32"/>
      <c r="H42" s="32"/>
      <c r="I42" s="32"/>
      <c r="J42" s="32"/>
      <c r="K42" s="32"/>
      <c r="L42" s="32"/>
      <c r="M42" s="32"/>
      <c r="N42" s="32"/>
      <c r="O42" s="3"/>
      <c r="P42" s="3"/>
      <c r="Q42" s="3"/>
      <c r="R42" s="3"/>
      <c r="S42" s="3"/>
      <c r="T42" s="3"/>
      <c r="U42" s="3"/>
      <c r="V42" s="3"/>
      <c r="W42" s="3"/>
      <c r="X42" s="3"/>
      <c r="Y42" s="3"/>
      <c r="Z42" s="3"/>
      <c r="AA42" s="3"/>
      <c r="AB42" s="3"/>
      <c r="AC42" s="3"/>
      <c r="AD42" s="3"/>
      <c r="AE42" s="3"/>
      <c r="AF42" s="3"/>
      <c r="AG42" s="3"/>
      <c r="AH42" s="3"/>
      <c r="AI42" s="3"/>
      <c r="AJ42" s="3"/>
      <c r="AK42" s="3"/>
      <c r="AL42" s="3"/>
    </row>
    <row r="43" spans="1:38" ht="15.75" customHeight="1" x14ac:dyDescent="0.2">
      <c r="A43" s="15" t="s">
        <v>142</v>
      </c>
      <c r="B43" s="3"/>
      <c r="C43" s="32"/>
      <c r="D43" s="32"/>
      <c r="E43" s="32"/>
      <c r="F43" s="32"/>
      <c r="G43" s="32"/>
      <c r="H43" s="32"/>
      <c r="I43" s="32"/>
      <c r="J43" s="32"/>
      <c r="K43" s="32"/>
      <c r="L43" s="32"/>
      <c r="M43" s="32"/>
      <c r="N43" s="32"/>
      <c r="O43" s="3"/>
      <c r="P43" s="3"/>
      <c r="Q43" s="3"/>
      <c r="R43" s="3"/>
      <c r="S43" s="3"/>
      <c r="T43" s="3"/>
      <c r="U43" s="3"/>
      <c r="V43" s="3"/>
      <c r="W43" s="3"/>
      <c r="X43" s="3"/>
      <c r="Y43" s="3"/>
      <c r="Z43" s="3"/>
      <c r="AA43" s="3"/>
      <c r="AB43" s="3"/>
      <c r="AC43" s="3"/>
      <c r="AD43" s="3"/>
      <c r="AE43" s="3"/>
      <c r="AF43" s="3"/>
      <c r="AG43" s="3"/>
      <c r="AH43" s="3"/>
      <c r="AI43" s="3"/>
      <c r="AJ43" s="3"/>
      <c r="AK43" s="3"/>
      <c r="AL43" s="3"/>
    </row>
    <row r="44" spans="1:38" ht="15.75" customHeight="1" x14ac:dyDescent="0.2">
      <c r="A44" s="38" t="str">
        <f>(A1&amp;" – "&amp;A2)</f>
        <v>Indicator 10 – Indicator 11</v>
      </c>
      <c r="B44" s="3"/>
      <c r="C44" s="82" t="s">
        <v>143</v>
      </c>
      <c r="D44" s="83"/>
      <c r="E44" s="83"/>
      <c r="F44" s="83"/>
      <c r="G44" s="83"/>
      <c r="H44" s="83"/>
      <c r="I44" s="83"/>
      <c r="J44" s="83"/>
      <c r="K44" s="83"/>
      <c r="L44" s="83"/>
      <c r="M44" s="83"/>
      <c r="N44" s="83"/>
      <c r="O44" s="3"/>
      <c r="P44" s="3"/>
      <c r="Q44" s="3"/>
      <c r="R44" s="3"/>
      <c r="S44" s="3"/>
      <c r="T44" s="3"/>
      <c r="U44" s="3"/>
      <c r="V44" s="3"/>
      <c r="W44" s="3"/>
      <c r="X44" s="3"/>
      <c r="Y44" s="3"/>
      <c r="Z44" s="3"/>
      <c r="AA44" s="3"/>
      <c r="AB44" s="3"/>
      <c r="AC44" s="3"/>
      <c r="AD44" s="3"/>
      <c r="AE44" s="3"/>
      <c r="AF44" s="3"/>
      <c r="AG44" s="3"/>
      <c r="AH44" s="3"/>
      <c r="AI44" s="3"/>
      <c r="AJ44" s="3"/>
      <c r="AK44" s="3"/>
      <c r="AL44" s="3"/>
    </row>
    <row r="45" spans="1:38" ht="15.75" customHeight="1" x14ac:dyDescent="0.2">
      <c r="A45" s="3"/>
      <c r="B45" s="3"/>
      <c r="C45" s="32"/>
      <c r="D45" s="32"/>
      <c r="E45" s="32"/>
      <c r="F45" s="32"/>
      <c r="G45" s="32"/>
      <c r="H45" s="32"/>
      <c r="I45" s="32"/>
      <c r="J45" s="32"/>
      <c r="K45" s="32"/>
      <c r="L45" s="32"/>
      <c r="M45" s="32"/>
      <c r="N45" s="32"/>
      <c r="O45" s="3"/>
      <c r="P45" s="3"/>
      <c r="Q45" s="3"/>
      <c r="R45" s="3"/>
      <c r="S45" s="3"/>
      <c r="T45" s="3"/>
      <c r="U45" s="3"/>
      <c r="V45" s="3"/>
      <c r="W45" s="3"/>
      <c r="X45" s="3"/>
      <c r="Y45" s="3"/>
      <c r="Z45" s="3"/>
      <c r="AA45" s="3"/>
      <c r="AB45" s="3"/>
      <c r="AC45" s="3"/>
      <c r="AD45" s="3"/>
      <c r="AE45" s="3"/>
      <c r="AF45" s="3"/>
      <c r="AG45" s="3"/>
      <c r="AH45" s="3"/>
      <c r="AI45" s="3"/>
      <c r="AJ45" s="3"/>
      <c r="AK45" s="3"/>
      <c r="AL45" s="3"/>
    </row>
    <row r="46" spans="1:38" ht="15.75" customHeight="1" x14ac:dyDescent="0.2">
      <c r="A46" s="15" t="s">
        <v>144</v>
      </c>
      <c r="B46" s="3"/>
      <c r="C46" s="32"/>
      <c r="D46" s="32"/>
      <c r="E46" s="32"/>
      <c r="F46" s="32"/>
      <c r="G46" s="32"/>
      <c r="H46" s="32"/>
      <c r="I46" s="32"/>
      <c r="J46" s="32"/>
      <c r="K46" s="32"/>
      <c r="L46" s="32"/>
      <c r="M46" s="32"/>
      <c r="N46" s="32"/>
      <c r="O46" s="3"/>
      <c r="P46" s="3"/>
      <c r="Q46" s="3"/>
      <c r="R46" s="3"/>
      <c r="S46" s="3"/>
      <c r="T46" s="3"/>
      <c r="U46" s="3"/>
      <c r="V46" s="3"/>
      <c r="W46" s="3"/>
      <c r="X46" s="3"/>
      <c r="Y46" s="3"/>
      <c r="Z46" s="3"/>
      <c r="AA46" s="3"/>
      <c r="AB46" s="3"/>
      <c r="AC46" s="3"/>
      <c r="AD46" s="3"/>
      <c r="AE46" s="3"/>
      <c r="AF46" s="3"/>
      <c r="AG46" s="3"/>
      <c r="AH46" s="3"/>
      <c r="AI46" s="3"/>
      <c r="AJ46" s="3"/>
      <c r="AK46" s="3"/>
      <c r="AL46" s="3"/>
    </row>
    <row r="47" spans="1:38" ht="81.75" customHeight="1" x14ac:dyDescent="0.2">
      <c r="A47" s="31" t="str">
        <f>(A1&amp;" – "&amp;A2)</f>
        <v>Indicator 10 – Indicator 11</v>
      </c>
      <c r="B47" s="3"/>
      <c r="C47" s="82" t="s">
        <v>200</v>
      </c>
      <c r="D47" s="83"/>
      <c r="E47" s="83"/>
      <c r="F47" s="83"/>
      <c r="G47" s="83"/>
      <c r="H47" s="83"/>
      <c r="I47" s="83"/>
      <c r="J47" s="83"/>
      <c r="K47" s="83"/>
      <c r="L47" s="83"/>
      <c r="M47" s="83"/>
      <c r="N47" s="83"/>
      <c r="O47" s="36"/>
      <c r="P47" s="36"/>
      <c r="Q47" s="36"/>
      <c r="R47" s="36"/>
      <c r="S47" s="36"/>
      <c r="T47" s="36"/>
      <c r="U47" s="36"/>
      <c r="V47" s="36"/>
      <c r="W47" s="36"/>
      <c r="X47" s="36"/>
      <c r="Y47" s="36"/>
      <c r="Z47" s="36"/>
      <c r="AA47" s="36"/>
      <c r="AB47" s="3"/>
      <c r="AC47" s="3"/>
      <c r="AD47" s="3"/>
      <c r="AE47" s="3"/>
      <c r="AF47" s="3"/>
      <c r="AG47" s="3"/>
      <c r="AH47" s="3"/>
      <c r="AI47" s="3"/>
      <c r="AJ47" s="3"/>
      <c r="AK47" s="3"/>
      <c r="AL47" s="3"/>
    </row>
    <row r="48" spans="1:38" ht="15" customHeight="1" x14ac:dyDescent="0.2">
      <c r="A48" s="3"/>
      <c r="B48" s="3"/>
      <c r="C48" s="32"/>
      <c r="D48" s="32"/>
      <c r="E48" s="32"/>
      <c r="F48" s="32"/>
      <c r="G48" s="32"/>
      <c r="H48" s="32"/>
      <c r="I48" s="32"/>
      <c r="J48" s="32"/>
      <c r="K48" s="32"/>
      <c r="L48" s="32"/>
      <c r="M48" s="32"/>
      <c r="N48" s="32"/>
      <c r="O48" s="3"/>
      <c r="P48" s="3"/>
      <c r="Q48" s="3"/>
      <c r="R48" s="3"/>
      <c r="S48" s="3"/>
      <c r="T48" s="3"/>
      <c r="U48" s="3"/>
      <c r="V48" s="3"/>
      <c r="W48" s="3"/>
      <c r="X48" s="3"/>
      <c r="Y48" s="3"/>
      <c r="Z48" s="3"/>
      <c r="AA48" s="3"/>
      <c r="AB48" s="3"/>
      <c r="AC48" s="3"/>
      <c r="AD48" s="3"/>
      <c r="AE48" s="3"/>
      <c r="AF48" s="3"/>
      <c r="AG48" s="3"/>
      <c r="AH48" s="3"/>
      <c r="AI48" s="3"/>
      <c r="AJ48" s="3"/>
      <c r="AK48" s="3"/>
      <c r="AL48" s="3"/>
    </row>
    <row r="49" spans="1:38"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row>
    <row r="50" spans="1:38"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row>
    <row r="51" spans="1:38"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row>
    <row r="52" spans="1:38"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row>
    <row r="53" spans="1:38"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row>
    <row r="54" spans="1:38"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row>
    <row r="55" spans="1:38"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row>
    <row r="56" spans="1:38"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row>
    <row r="57" spans="1:38"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row>
    <row r="58" spans="1:38"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row>
    <row r="59" spans="1:38"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row>
    <row r="60" spans="1:38"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row>
    <row r="61" spans="1:38"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row>
    <row r="62" spans="1:38"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row>
    <row r="63" spans="1:38"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row>
    <row r="64" spans="1:38"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row>
    <row r="65" spans="1:38"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row>
    <row r="66" spans="1:38"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row>
    <row r="67" spans="1:38"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row>
    <row r="68" spans="1:38"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row>
    <row r="69" spans="1:38"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row>
    <row r="70" spans="1:38"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row>
    <row r="71" spans="1:38" ht="15.7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row>
    <row r="72" spans="1:38" ht="15.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row>
    <row r="73" spans="1:38"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row>
    <row r="74" spans="1:38"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row>
    <row r="75" spans="1:38"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row>
    <row r="76" spans="1:38"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row>
    <row r="77" spans="1:38"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row>
    <row r="78" spans="1:38"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row>
    <row r="79" spans="1:38"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row>
    <row r="80" spans="1:38"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row>
    <row r="81" spans="1:38"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row>
    <row r="82" spans="1:38"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row>
    <row r="83" spans="1:38"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row>
    <row r="84" spans="1:38"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row>
    <row r="85" spans="1:38"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row>
    <row r="86" spans="1:38"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row>
    <row r="87" spans="1:38"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row>
    <row r="88" spans="1:38"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row>
    <row r="89" spans="1:38"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row>
    <row r="90" spans="1:38"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row>
    <row r="91" spans="1:38"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row>
    <row r="92" spans="1:38"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row>
    <row r="93" spans="1:38"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row>
    <row r="94" spans="1:38"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row>
    <row r="95" spans="1:38"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row>
    <row r="96" spans="1:38"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row>
    <row r="97" spans="1:38"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row>
    <row r="98" spans="1:38"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row>
    <row r="99" spans="1:38"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row>
    <row r="100" spans="1:38"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row>
    <row r="101" spans="1:38"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row>
    <row r="102" spans="1:38"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row>
    <row r="103" spans="1:38"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row>
    <row r="104" spans="1:38"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row>
    <row r="105" spans="1:38"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row>
    <row r="106" spans="1:38"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row>
    <row r="107" spans="1:38"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row>
    <row r="108" spans="1:38"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row>
    <row r="109" spans="1:38"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row>
    <row r="110" spans="1:38"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row>
    <row r="111" spans="1:38"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row>
    <row r="112" spans="1:38"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row>
    <row r="113" spans="1:38"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row>
    <row r="114" spans="1:38"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row>
    <row r="115" spans="1:38"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row>
    <row r="116" spans="1:38"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row>
    <row r="117" spans="1:38"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row>
    <row r="118" spans="1:38"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row>
    <row r="119" spans="1:38"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row>
    <row r="120" spans="1:38"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row>
    <row r="121" spans="1:38"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row>
    <row r="122" spans="1:38"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row>
    <row r="123" spans="1:38"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row>
    <row r="124" spans="1:38"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row>
    <row r="125" spans="1:38"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row>
    <row r="126" spans="1:38"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row>
    <row r="127" spans="1:38"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row>
    <row r="128" spans="1:38"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row>
    <row r="129" spans="1:38"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row>
    <row r="130" spans="1:38"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row>
    <row r="131" spans="1:38"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row>
    <row r="132" spans="1:38"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row>
    <row r="133" spans="1:38"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row>
    <row r="134" spans="1:38"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row>
    <row r="135" spans="1:38"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row>
    <row r="136" spans="1:38"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row>
    <row r="137" spans="1:38"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row>
    <row r="138" spans="1:38"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row>
    <row r="139" spans="1:38"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row>
    <row r="140" spans="1:38"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row>
    <row r="141" spans="1:38"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row>
    <row r="142" spans="1:38"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row>
    <row r="143" spans="1:38"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row>
    <row r="144" spans="1:38"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row>
    <row r="145" spans="1:38"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row>
    <row r="146" spans="1:38"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row>
    <row r="147" spans="1:38"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row>
    <row r="148" spans="1:38"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row>
    <row r="149" spans="1:38"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row>
    <row r="150" spans="1:38"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row>
    <row r="151" spans="1:38"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row>
    <row r="152" spans="1:38"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row>
    <row r="153" spans="1:38"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row>
    <row r="154" spans="1:38"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row>
    <row r="155" spans="1:38"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row>
    <row r="156" spans="1:38"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row>
    <row r="157" spans="1:38"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row>
    <row r="158" spans="1:38"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row>
    <row r="159" spans="1:38"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row>
    <row r="160" spans="1:38"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row>
    <row r="161" spans="1:38"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row>
    <row r="162" spans="1:38"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row>
    <row r="163" spans="1:38"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row>
    <row r="164" spans="1:38"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row>
    <row r="165" spans="1:38"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row>
    <row r="166" spans="1:38"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row>
    <row r="167" spans="1:38"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row>
    <row r="168" spans="1:38"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row>
    <row r="169" spans="1:38"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row>
    <row r="170" spans="1:38"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row>
    <row r="171" spans="1:38"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row>
    <row r="172" spans="1:38"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row>
    <row r="173" spans="1:38"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row>
    <row r="174" spans="1:38"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row>
    <row r="175" spans="1:38"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row>
    <row r="176" spans="1:38"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row>
    <row r="177" spans="1:38"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row>
    <row r="178" spans="1:38"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row>
    <row r="179" spans="1:38"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row>
    <row r="180" spans="1:38"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row>
    <row r="181" spans="1:38"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row>
    <row r="182" spans="1:38"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row>
    <row r="183" spans="1:38"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row>
    <row r="184" spans="1:38"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row>
    <row r="185" spans="1:38"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row>
    <row r="186" spans="1:38"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row>
    <row r="187" spans="1:38"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row>
    <row r="188" spans="1:38"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row>
    <row r="189" spans="1:38"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row>
    <row r="190" spans="1:38"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row>
    <row r="191" spans="1:38"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row>
    <row r="192" spans="1:38"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row>
    <row r="193" spans="1:38"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row>
    <row r="194" spans="1:38"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row>
    <row r="195" spans="1:38"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row>
    <row r="196" spans="1:38"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row>
    <row r="197" spans="1:38"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row>
    <row r="198" spans="1:38"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row>
    <row r="199" spans="1:38"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row>
    <row r="200" spans="1:38"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row>
    <row r="201" spans="1:38"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row>
    <row r="202" spans="1:38"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row>
    <row r="203" spans="1:38"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row>
    <row r="204" spans="1:38"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row>
    <row r="205" spans="1:38"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row>
    <row r="206" spans="1:38"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row>
    <row r="207" spans="1:38"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row>
    <row r="208" spans="1:38"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row>
    <row r="209" spans="1:38"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row>
    <row r="210" spans="1:38"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row>
    <row r="211" spans="1:38"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row>
    <row r="212" spans="1:38"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row>
    <row r="213" spans="1:38"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row>
    <row r="214" spans="1:38"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row>
    <row r="215" spans="1:38"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row>
    <row r="216" spans="1:38"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row>
    <row r="217" spans="1:38"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row>
    <row r="218" spans="1:38"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row>
    <row r="219" spans="1:38"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row>
    <row r="220" spans="1:38"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row>
    <row r="221" spans="1:38"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row>
    <row r="222" spans="1:38"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row>
    <row r="223" spans="1:38"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row>
    <row r="224" spans="1:38"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row>
    <row r="225" spans="1:38"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row>
    <row r="226" spans="1:38"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row>
    <row r="227" spans="1:38"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row>
    <row r="228" spans="1:38"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row>
    <row r="229" spans="1:38"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row>
    <row r="230" spans="1:38"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row>
    <row r="231" spans="1:38"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row>
    <row r="232" spans="1:38"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row>
    <row r="233" spans="1:38"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row>
    <row r="234" spans="1:38"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row>
    <row r="235" spans="1:38"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row>
    <row r="236" spans="1:38"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row>
    <row r="237" spans="1:38"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row>
    <row r="238" spans="1:38"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row>
    <row r="239" spans="1:38"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row>
    <row r="240" spans="1:38"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row>
    <row r="241" spans="1:38"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row>
    <row r="242" spans="1:38"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row>
    <row r="243" spans="1:38"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row>
    <row r="244" spans="1:38"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row>
    <row r="245" spans="1:38"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row>
    <row r="246" spans="1:38"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row>
    <row r="247" spans="1:38"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row>
    <row r="248" spans="1:38" ht="15.75" customHeight="1" x14ac:dyDescent="0.2"/>
    <row r="249" spans="1:38" ht="15.75" customHeight="1" x14ac:dyDescent="0.2"/>
    <row r="250" spans="1:38" ht="15.75" customHeight="1" x14ac:dyDescent="0.2"/>
    <row r="251" spans="1:38" ht="15.75" customHeight="1" x14ac:dyDescent="0.2"/>
    <row r="252" spans="1:38" ht="15.75" customHeight="1" x14ac:dyDescent="0.2"/>
    <row r="253" spans="1:38" ht="15.75" customHeight="1" x14ac:dyDescent="0.2"/>
    <row r="254" spans="1:38" ht="15.75" customHeight="1" x14ac:dyDescent="0.2"/>
    <row r="255" spans="1:38" ht="15.75" customHeight="1" x14ac:dyDescent="0.2"/>
    <row r="256" spans="1:38"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8">
    <mergeCell ref="C47:N47"/>
    <mergeCell ref="C28:T28"/>
    <mergeCell ref="C34:N34"/>
    <mergeCell ref="C35:N35"/>
    <mergeCell ref="C37:N37"/>
    <mergeCell ref="C38:N38"/>
    <mergeCell ref="C41:N41"/>
    <mergeCell ref="C44:N44"/>
  </mergeCells>
  <conditionalFormatting sqref="C25:AL26">
    <cfRule type="containsText" dxfId="13" priority="1" operator="containsText" text="TRUE">
      <formula>NOT(ISERROR(SEARCH("TRUE",C25)))</formula>
    </cfRule>
    <cfRule type="containsText" dxfId="12" priority="2" operator="containsText" text="FALSE">
      <formula>NOT(ISERROR(SEARCH("FALSE",C25)))</formula>
    </cfRule>
  </conditionalFormatting>
  <pageMargins left="0.7" right="0.7" top="0.75" bottom="0.75" header="0" footer="0"/>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GE1018"/>
  <sheetViews>
    <sheetView showGridLines="0" topLeftCell="A7" zoomScale="120" zoomScaleNormal="120" workbookViewId="0">
      <pane xSplit="1" topLeftCell="B1" activePane="topRight" state="frozen"/>
      <selection activeCell="Q55" sqref="Q55"/>
      <selection pane="topRight" activeCell="R7" sqref="R7:U18"/>
    </sheetView>
  </sheetViews>
  <sheetFormatPr baseColWidth="10" defaultColWidth="14.5" defaultRowHeight="15" customHeight="1" x14ac:dyDescent="0.2"/>
  <cols>
    <col min="1" max="1" width="28.83203125" customWidth="1"/>
    <col min="2" max="2" width="1.33203125" customWidth="1"/>
    <col min="3" max="187" width="5.33203125" customWidth="1"/>
  </cols>
  <sheetData>
    <row r="1" spans="1:187" ht="31.5" customHeight="1" x14ac:dyDescent="0.2">
      <c r="A1" s="10" t="s">
        <v>201</v>
      </c>
      <c r="B1" s="10"/>
      <c r="C1" s="11" t="s">
        <v>202</v>
      </c>
      <c r="D1" s="11"/>
      <c r="E1" s="11"/>
      <c r="F1" s="11"/>
      <c r="G1" s="11"/>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62"/>
      <c r="GB1" s="62"/>
      <c r="GC1" s="62"/>
      <c r="GD1" s="62"/>
      <c r="GE1" s="62"/>
    </row>
    <row r="2" spans="1:187" ht="31.5" customHeight="1" x14ac:dyDescent="0.25">
      <c r="A2" s="12"/>
      <c r="B2" s="3"/>
      <c r="C2" s="13"/>
      <c r="D2" s="13"/>
      <c r="E2" s="13"/>
      <c r="F2" s="13"/>
      <c r="G2" s="13"/>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62"/>
      <c r="GB2" s="62"/>
      <c r="GC2" s="62"/>
      <c r="GD2" s="62"/>
      <c r="GE2" s="62"/>
    </row>
    <row r="3" spans="1:187" ht="19" x14ac:dyDescent="0.25">
      <c r="A3" s="15" t="s">
        <v>61</v>
      </c>
      <c r="B3" s="3"/>
      <c r="C3" s="13"/>
      <c r="D3" s="13"/>
      <c r="E3" s="13"/>
      <c r="F3" s="13"/>
      <c r="G3" s="13"/>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62"/>
      <c r="GB3" s="62"/>
      <c r="GC3" s="62"/>
      <c r="GD3" s="62"/>
      <c r="GE3" s="62"/>
    </row>
    <row r="4" spans="1:187" ht="15" customHeight="1" x14ac:dyDescent="0.2">
      <c r="A4" s="16" t="str">
        <f>A1</f>
        <v>Indicator 13</v>
      </c>
      <c r="B4" s="3"/>
      <c r="C4" s="45" t="s">
        <v>62</v>
      </c>
      <c r="D4" s="46"/>
      <c r="E4" s="46"/>
      <c r="F4" s="46"/>
      <c r="G4" s="47"/>
      <c r="H4" s="45" t="s">
        <v>63</v>
      </c>
      <c r="I4" s="46"/>
      <c r="J4" s="46"/>
      <c r="K4" s="46"/>
      <c r="L4" s="47"/>
      <c r="M4" s="45" t="s">
        <v>64</v>
      </c>
      <c r="N4" s="46"/>
      <c r="O4" s="46"/>
      <c r="P4" s="46"/>
      <c r="Q4" s="47"/>
      <c r="R4" s="45" t="s">
        <v>65</v>
      </c>
      <c r="S4" s="46"/>
      <c r="T4" s="46"/>
      <c r="U4" s="46"/>
      <c r="V4" s="47"/>
      <c r="W4" s="45" t="s">
        <v>62</v>
      </c>
      <c r="X4" s="46"/>
      <c r="Y4" s="46"/>
      <c r="Z4" s="46"/>
      <c r="AA4" s="47"/>
      <c r="AB4" s="45" t="s">
        <v>63</v>
      </c>
      <c r="AC4" s="46"/>
      <c r="AD4" s="46"/>
      <c r="AE4" s="46"/>
      <c r="AF4" s="47"/>
      <c r="AG4" s="45" t="s">
        <v>64</v>
      </c>
      <c r="AH4" s="46"/>
      <c r="AI4" s="46"/>
      <c r="AJ4" s="46"/>
      <c r="AK4" s="47"/>
      <c r="AL4" s="45" t="s">
        <v>65</v>
      </c>
      <c r="AM4" s="46"/>
      <c r="AN4" s="46"/>
      <c r="AO4" s="46"/>
      <c r="AP4" s="47"/>
      <c r="AQ4" s="45" t="s">
        <v>62</v>
      </c>
      <c r="AR4" s="46"/>
      <c r="AS4" s="46"/>
      <c r="AT4" s="46"/>
      <c r="AU4" s="47"/>
      <c r="AV4" s="45" t="s">
        <v>63</v>
      </c>
      <c r="AW4" s="46"/>
      <c r="AX4" s="46"/>
      <c r="AY4" s="46"/>
      <c r="AZ4" s="47"/>
      <c r="BA4" s="45" t="s">
        <v>64</v>
      </c>
      <c r="BB4" s="46"/>
      <c r="BC4" s="46"/>
      <c r="BD4" s="46"/>
      <c r="BE4" s="47"/>
      <c r="BF4" s="45" t="s">
        <v>65</v>
      </c>
      <c r="BG4" s="46"/>
      <c r="BH4" s="46"/>
      <c r="BI4" s="46"/>
      <c r="BJ4" s="47"/>
      <c r="BK4" s="45" t="s">
        <v>62</v>
      </c>
      <c r="BL4" s="46"/>
      <c r="BM4" s="46"/>
      <c r="BN4" s="46"/>
      <c r="BO4" s="47"/>
      <c r="BP4" s="45" t="s">
        <v>63</v>
      </c>
      <c r="BQ4" s="46"/>
      <c r="BR4" s="46"/>
      <c r="BS4" s="46"/>
      <c r="BT4" s="47"/>
      <c r="BU4" s="45" t="s">
        <v>64</v>
      </c>
      <c r="BV4" s="46"/>
      <c r="BW4" s="46"/>
      <c r="BX4" s="46"/>
      <c r="BY4" s="47"/>
      <c r="BZ4" s="45" t="s">
        <v>65</v>
      </c>
      <c r="CA4" s="46"/>
      <c r="CB4" s="46"/>
      <c r="CC4" s="46"/>
      <c r="CD4" s="47"/>
      <c r="CE4" s="45" t="s">
        <v>65</v>
      </c>
      <c r="CF4" s="46"/>
      <c r="CG4" s="46"/>
      <c r="CH4" s="46"/>
      <c r="CI4" s="47"/>
      <c r="CJ4" s="45" t="s">
        <v>65</v>
      </c>
      <c r="CK4" s="46"/>
      <c r="CL4" s="46"/>
      <c r="CM4" s="46"/>
      <c r="CN4" s="47"/>
      <c r="CO4" s="45" t="s">
        <v>65</v>
      </c>
      <c r="CP4" s="46"/>
      <c r="CQ4" s="46"/>
      <c r="CR4" s="46"/>
      <c r="CS4" s="47"/>
      <c r="CT4" s="45" t="s">
        <v>65</v>
      </c>
      <c r="CU4" s="46"/>
      <c r="CV4" s="46"/>
      <c r="CW4" s="46"/>
      <c r="CX4" s="47"/>
      <c r="CY4" s="45" t="s">
        <v>65</v>
      </c>
      <c r="CZ4" s="46"/>
      <c r="DA4" s="46"/>
      <c r="DB4" s="46"/>
      <c r="DC4" s="47"/>
      <c r="DD4" s="45" t="s">
        <v>65</v>
      </c>
      <c r="DE4" s="46"/>
      <c r="DF4" s="46"/>
      <c r="DG4" s="46"/>
      <c r="DH4" s="47"/>
      <c r="DI4" s="45" t="s">
        <v>65</v>
      </c>
      <c r="DJ4" s="46"/>
      <c r="DK4" s="46"/>
      <c r="DL4" s="46"/>
      <c r="DM4" s="47"/>
      <c r="DN4" s="45" t="s">
        <v>65</v>
      </c>
      <c r="DO4" s="46"/>
      <c r="DP4" s="46"/>
      <c r="DQ4" s="46"/>
      <c r="DR4" s="47"/>
      <c r="DS4" s="45" t="s">
        <v>65</v>
      </c>
      <c r="DT4" s="46"/>
      <c r="DU4" s="46"/>
      <c r="DV4" s="46"/>
      <c r="DW4" s="47"/>
      <c r="DX4" s="45" t="s">
        <v>65</v>
      </c>
      <c r="DY4" s="46"/>
      <c r="DZ4" s="46"/>
      <c r="EA4" s="46"/>
      <c r="EB4" s="47"/>
      <c r="EC4" s="45" t="s">
        <v>65</v>
      </c>
      <c r="ED4" s="46"/>
      <c r="EE4" s="46"/>
      <c r="EF4" s="46"/>
      <c r="EG4" s="47"/>
      <c r="EH4" s="45" t="s">
        <v>65</v>
      </c>
      <c r="EI4" s="46"/>
      <c r="EJ4" s="46"/>
      <c r="EK4" s="46"/>
      <c r="EL4" s="47"/>
      <c r="EM4" s="45" t="s">
        <v>65</v>
      </c>
      <c r="EN4" s="46"/>
      <c r="EO4" s="46"/>
      <c r="EP4" s="46"/>
      <c r="EQ4" s="47"/>
      <c r="ER4" s="45" t="s">
        <v>65</v>
      </c>
      <c r="ES4" s="46"/>
      <c r="ET4" s="46"/>
      <c r="EU4" s="46"/>
      <c r="EV4" s="47"/>
      <c r="EW4" s="45" t="s">
        <v>65</v>
      </c>
      <c r="EX4" s="46"/>
      <c r="EY4" s="46"/>
      <c r="EZ4" s="46"/>
      <c r="FA4" s="47"/>
      <c r="FB4" s="45" t="s">
        <v>65</v>
      </c>
      <c r="FC4" s="46"/>
      <c r="FD4" s="46"/>
      <c r="FE4" s="46"/>
      <c r="FF4" s="47"/>
      <c r="FG4" s="45" t="s">
        <v>65</v>
      </c>
      <c r="FH4" s="46"/>
      <c r="FI4" s="46"/>
      <c r="FJ4" s="46"/>
      <c r="FK4" s="47"/>
      <c r="FL4" s="45" t="s">
        <v>65</v>
      </c>
      <c r="FM4" s="46"/>
      <c r="FN4" s="46"/>
      <c r="FO4" s="46"/>
      <c r="FP4" s="47"/>
      <c r="FQ4" s="45" t="s">
        <v>65</v>
      </c>
      <c r="FR4" s="46"/>
      <c r="FS4" s="46"/>
      <c r="FT4" s="46"/>
      <c r="FU4" s="47"/>
      <c r="FV4" s="45" t="s">
        <v>65</v>
      </c>
      <c r="FW4" s="46"/>
      <c r="FX4" s="46"/>
      <c r="FY4" s="46"/>
      <c r="FZ4" s="47"/>
      <c r="GA4" s="62"/>
      <c r="GB4" s="62"/>
      <c r="GC4" s="62"/>
      <c r="GD4" s="62"/>
      <c r="GE4" s="62"/>
    </row>
    <row r="5" spans="1:187" ht="15" customHeight="1" x14ac:dyDescent="0.2">
      <c r="A5" s="16"/>
      <c r="B5" s="3"/>
      <c r="C5" s="45" t="s">
        <v>385</v>
      </c>
      <c r="D5" s="46"/>
      <c r="E5" s="46"/>
      <c r="F5" s="46"/>
      <c r="G5" s="47"/>
      <c r="H5" s="45" t="s">
        <v>386</v>
      </c>
      <c r="I5" s="46"/>
      <c r="J5" s="46"/>
      <c r="K5" s="46"/>
      <c r="L5" s="47"/>
      <c r="M5" s="45" t="s">
        <v>387</v>
      </c>
      <c r="N5" s="46"/>
      <c r="O5" s="46"/>
      <c r="P5" s="46"/>
      <c r="Q5" s="47"/>
      <c r="R5" s="45" t="s">
        <v>388</v>
      </c>
      <c r="S5" s="46"/>
      <c r="T5" s="46"/>
      <c r="U5" s="46"/>
      <c r="V5" s="47"/>
      <c r="W5" s="45" t="s">
        <v>66</v>
      </c>
      <c r="X5" s="46"/>
      <c r="Y5" s="46"/>
      <c r="Z5" s="46"/>
      <c r="AA5" s="47"/>
      <c r="AB5" s="45" t="s">
        <v>67</v>
      </c>
      <c r="AC5" s="46"/>
      <c r="AD5" s="46"/>
      <c r="AE5" s="46"/>
      <c r="AF5" s="47"/>
      <c r="AG5" s="45" t="s">
        <v>68</v>
      </c>
      <c r="AH5" s="46"/>
      <c r="AI5" s="46"/>
      <c r="AJ5" s="46"/>
      <c r="AK5" s="47"/>
      <c r="AL5" s="45" t="s">
        <v>69</v>
      </c>
      <c r="AM5" s="46"/>
      <c r="AN5" s="46"/>
      <c r="AO5" s="46"/>
      <c r="AP5" s="47"/>
      <c r="AQ5" s="45" t="s">
        <v>70</v>
      </c>
      <c r="AR5" s="46"/>
      <c r="AS5" s="46"/>
      <c r="AT5" s="46"/>
      <c r="AU5" s="47"/>
      <c r="AV5" s="45" t="s">
        <v>71</v>
      </c>
      <c r="AW5" s="46"/>
      <c r="AX5" s="46"/>
      <c r="AY5" s="46"/>
      <c r="AZ5" s="47"/>
      <c r="BA5" s="45" t="s">
        <v>72</v>
      </c>
      <c r="BB5" s="46"/>
      <c r="BC5" s="46"/>
      <c r="BD5" s="46"/>
      <c r="BE5" s="47"/>
      <c r="BF5" s="45" t="s">
        <v>73</v>
      </c>
      <c r="BG5" s="46"/>
      <c r="BH5" s="46"/>
      <c r="BI5" s="46"/>
      <c r="BJ5" s="47"/>
      <c r="BK5" s="45" t="s">
        <v>74</v>
      </c>
      <c r="BL5" s="46"/>
      <c r="BM5" s="46"/>
      <c r="BN5" s="46"/>
      <c r="BO5" s="47"/>
      <c r="BP5" s="45" t="s">
        <v>75</v>
      </c>
      <c r="BQ5" s="46"/>
      <c r="BR5" s="46"/>
      <c r="BS5" s="46"/>
      <c r="BT5" s="47"/>
      <c r="BU5" s="45" t="s">
        <v>76</v>
      </c>
      <c r="BV5" s="46"/>
      <c r="BW5" s="46"/>
      <c r="BX5" s="46"/>
      <c r="BY5" s="47"/>
      <c r="BZ5" s="45" t="s">
        <v>77</v>
      </c>
      <c r="CA5" s="46"/>
      <c r="CB5" s="46"/>
      <c r="CC5" s="46"/>
      <c r="CD5" s="47"/>
      <c r="CE5" s="45" t="s">
        <v>321</v>
      </c>
      <c r="CF5" s="46"/>
      <c r="CG5" s="46"/>
      <c r="CH5" s="46"/>
      <c r="CI5" s="47"/>
      <c r="CJ5" s="45" t="s">
        <v>341</v>
      </c>
      <c r="CK5" s="46"/>
      <c r="CL5" s="46"/>
      <c r="CM5" s="46"/>
      <c r="CN5" s="47"/>
      <c r="CO5" s="45" t="s">
        <v>342</v>
      </c>
      <c r="CP5" s="46"/>
      <c r="CQ5" s="46"/>
      <c r="CR5" s="46"/>
      <c r="CS5" s="47"/>
      <c r="CT5" s="45" t="s">
        <v>343</v>
      </c>
      <c r="CU5" s="46"/>
      <c r="CV5" s="46"/>
      <c r="CW5" s="46"/>
      <c r="CX5" s="47"/>
      <c r="CY5" s="45" t="s">
        <v>325</v>
      </c>
      <c r="CZ5" s="46"/>
      <c r="DA5" s="46"/>
      <c r="DB5" s="46"/>
      <c r="DC5" s="47"/>
      <c r="DD5" s="45" t="s">
        <v>344</v>
      </c>
      <c r="DE5" s="46"/>
      <c r="DF5" s="46"/>
      <c r="DG5" s="46"/>
      <c r="DH5" s="47"/>
      <c r="DI5" s="45" t="s">
        <v>345</v>
      </c>
      <c r="DJ5" s="46"/>
      <c r="DK5" s="46"/>
      <c r="DL5" s="46"/>
      <c r="DM5" s="47"/>
      <c r="DN5" s="45" t="s">
        <v>346</v>
      </c>
      <c r="DO5" s="46"/>
      <c r="DP5" s="46"/>
      <c r="DQ5" s="46"/>
      <c r="DR5" s="47"/>
      <c r="DS5" s="45" t="s">
        <v>347</v>
      </c>
      <c r="DT5" s="46"/>
      <c r="DU5" s="46"/>
      <c r="DV5" s="46"/>
      <c r="DW5" s="47"/>
      <c r="DX5" s="45" t="s">
        <v>348</v>
      </c>
      <c r="DY5" s="46"/>
      <c r="DZ5" s="46"/>
      <c r="EA5" s="46"/>
      <c r="EB5" s="47"/>
      <c r="EC5" s="45" t="s">
        <v>349</v>
      </c>
      <c r="ED5" s="46"/>
      <c r="EE5" s="46"/>
      <c r="EF5" s="46"/>
      <c r="EG5" s="47"/>
      <c r="EH5" s="45" t="s">
        <v>350</v>
      </c>
      <c r="EI5" s="46"/>
      <c r="EJ5" s="46"/>
      <c r="EK5" s="46"/>
      <c r="EL5" s="47"/>
      <c r="EM5" s="45" t="s">
        <v>351</v>
      </c>
      <c r="EN5" s="46"/>
      <c r="EO5" s="46"/>
      <c r="EP5" s="46"/>
      <c r="EQ5" s="47"/>
      <c r="ER5" s="45" t="s">
        <v>352</v>
      </c>
      <c r="ES5" s="46"/>
      <c r="ET5" s="46"/>
      <c r="EU5" s="46"/>
      <c r="EV5" s="47"/>
      <c r="EW5" s="45" t="s">
        <v>353</v>
      </c>
      <c r="EX5" s="46"/>
      <c r="EY5" s="46"/>
      <c r="EZ5" s="46"/>
      <c r="FA5" s="47"/>
      <c r="FB5" s="45" t="s">
        <v>354</v>
      </c>
      <c r="FC5" s="46"/>
      <c r="FD5" s="46"/>
      <c r="FE5" s="46"/>
      <c r="FF5" s="47"/>
      <c r="FG5" s="45" t="s">
        <v>355</v>
      </c>
      <c r="FH5" s="46"/>
      <c r="FI5" s="46"/>
      <c r="FJ5" s="46"/>
      <c r="FK5" s="47"/>
      <c r="FL5" s="45" t="s">
        <v>356</v>
      </c>
      <c r="FM5" s="46"/>
      <c r="FN5" s="46"/>
      <c r="FO5" s="46"/>
      <c r="FP5" s="47"/>
      <c r="FQ5" s="45" t="s">
        <v>357</v>
      </c>
      <c r="FR5" s="46"/>
      <c r="FS5" s="46"/>
      <c r="FT5" s="46"/>
      <c r="FU5" s="47"/>
      <c r="FV5" s="45" t="s">
        <v>358</v>
      </c>
      <c r="FW5" s="46"/>
      <c r="FX5" s="46"/>
      <c r="FY5" s="46"/>
      <c r="FZ5" s="47"/>
      <c r="GA5" s="62"/>
      <c r="GB5" s="62"/>
      <c r="GC5" s="62"/>
      <c r="GD5" s="62"/>
      <c r="GE5" s="62"/>
    </row>
    <row r="6" spans="1:187" ht="39" x14ac:dyDescent="0.2">
      <c r="A6" s="16"/>
      <c r="B6" s="3"/>
      <c r="C6" s="48" t="s">
        <v>203</v>
      </c>
      <c r="D6" s="48" t="s">
        <v>204</v>
      </c>
      <c r="E6" s="48" t="s">
        <v>205</v>
      </c>
      <c r="F6" s="48" t="s">
        <v>206</v>
      </c>
      <c r="G6" s="49" t="s">
        <v>207</v>
      </c>
      <c r="H6" s="48" t="s">
        <v>203</v>
      </c>
      <c r="I6" s="48" t="s">
        <v>204</v>
      </c>
      <c r="J6" s="48" t="s">
        <v>205</v>
      </c>
      <c r="K6" s="48" t="s">
        <v>206</v>
      </c>
      <c r="L6" s="49" t="s">
        <v>207</v>
      </c>
      <c r="M6" s="48" t="s">
        <v>203</v>
      </c>
      <c r="N6" s="48" t="s">
        <v>204</v>
      </c>
      <c r="O6" s="48" t="s">
        <v>205</v>
      </c>
      <c r="P6" s="48" t="s">
        <v>206</v>
      </c>
      <c r="Q6" s="49" t="s">
        <v>207</v>
      </c>
      <c r="R6" s="48" t="s">
        <v>203</v>
      </c>
      <c r="S6" s="48" t="s">
        <v>204</v>
      </c>
      <c r="T6" s="48" t="s">
        <v>205</v>
      </c>
      <c r="U6" s="48" t="s">
        <v>206</v>
      </c>
      <c r="V6" s="49" t="s">
        <v>207</v>
      </c>
      <c r="W6" s="48" t="s">
        <v>203</v>
      </c>
      <c r="X6" s="48" t="s">
        <v>204</v>
      </c>
      <c r="Y6" s="48" t="s">
        <v>205</v>
      </c>
      <c r="Z6" s="48" t="s">
        <v>206</v>
      </c>
      <c r="AA6" s="49" t="s">
        <v>207</v>
      </c>
      <c r="AB6" s="48" t="s">
        <v>203</v>
      </c>
      <c r="AC6" s="48" t="s">
        <v>204</v>
      </c>
      <c r="AD6" s="48" t="s">
        <v>205</v>
      </c>
      <c r="AE6" s="48" t="s">
        <v>206</v>
      </c>
      <c r="AF6" s="49" t="s">
        <v>207</v>
      </c>
      <c r="AG6" s="48" t="s">
        <v>203</v>
      </c>
      <c r="AH6" s="48" t="s">
        <v>204</v>
      </c>
      <c r="AI6" s="48" t="s">
        <v>205</v>
      </c>
      <c r="AJ6" s="48" t="s">
        <v>206</v>
      </c>
      <c r="AK6" s="49" t="s">
        <v>207</v>
      </c>
      <c r="AL6" s="48" t="s">
        <v>203</v>
      </c>
      <c r="AM6" s="48" t="s">
        <v>204</v>
      </c>
      <c r="AN6" s="48" t="s">
        <v>205</v>
      </c>
      <c r="AO6" s="48" t="s">
        <v>206</v>
      </c>
      <c r="AP6" s="49" t="s">
        <v>207</v>
      </c>
      <c r="AQ6" s="48" t="s">
        <v>203</v>
      </c>
      <c r="AR6" s="48" t="s">
        <v>204</v>
      </c>
      <c r="AS6" s="48" t="s">
        <v>205</v>
      </c>
      <c r="AT6" s="48" t="s">
        <v>206</v>
      </c>
      <c r="AU6" s="49" t="s">
        <v>207</v>
      </c>
      <c r="AV6" s="48" t="s">
        <v>203</v>
      </c>
      <c r="AW6" s="48" t="s">
        <v>204</v>
      </c>
      <c r="AX6" s="48" t="s">
        <v>205</v>
      </c>
      <c r="AY6" s="48" t="s">
        <v>206</v>
      </c>
      <c r="AZ6" s="49" t="s">
        <v>207</v>
      </c>
      <c r="BA6" s="48" t="s">
        <v>203</v>
      </c>
      <c r="BB6" s="48" t="s">
        <v>204</v>
      </c>
      <c r="BC6" s="48" t="s">
        <v>205</v>
      </c>
      <c r="BD6" s="48" t="s">
        <v>206</v>
      </c>
      <c r="BE6" s="49" t="s">
        <v>207</v>
      </c>
      <c r="BF6" s="48" t="s">
        <v>203</v>
      </c>
      <c r="BG6" s="48" t="s">
        <v>204</v>
      </c>
      <c r="BH6" s="48" t="s">
        <v>205</v>
      </c>
      <c r="BI6" s="48" t="s">
        <v>206</v>
      </c>
      <c r="BJ6" s="49" t="s">
        <v>207</v>
      </c>
      <c r="BK6" s="48" t="s">
        <v>203</v>
      </c>
      <c r="BL6" s="48" t="s">
        <v>204</v>
      </c>
      <c r="BM6" s="48" t="s">
        <v>205</v>
      </c>
      <c r="BN6" s="48" t="s">
        <v>206</v>
      </c>
      <c r="BO6" s="49" t="s">
        <v>207</v>
      </c>
      <c r="BP6" s="48" t="s">
        <v>203</v>
      </c>
      <c r="BQ6" s="48" t="s">
        <v>204</v>
      </c>
      <c r="BR6" s="48" t="s">
        <v>205</v>
      </c>
      <c r="BS6" s="48" t="s">
        <v>206</v>
      </c>
      <c r="BT6" s="49" t="s">
        <v>207</v>
      </c>
      <c r="BU6" s="48" t="s">
        <v>203</v>
      </c>
      <c r="BV6" s="48" t="s">
        <v>204</v>
      </c>
      <c r="BW6" s="48" t="s">
        <v>205</v>
      </c>
      <c r="BX6" s="48" t="s">
        <v>206</v>
      </c>
      <c r="BY6" s="49" t="s">
        <v>207</v>
      </c>
      <c r="BZ6" s="48" t="s">
        <v>203</v>
      </c>
      <c r="CA6" s="48" t="s">
        <v>204</v>
      </c>
      <c r="CB6" s="48" t="s">
        <v>205</v>
      </c>
      <c r="CC6" s="48" t="s">
        <v>206</v>
      </c>
      <c r="CD6" s="49" t="s">
        <v>207</v>
      </c>
      <c r="CE6" s="48" t="s">
        <v>203</v>
      </c>
      <c r="CF6" s="48" t="s">
        <v>204</v>
      </c>
      <c r="CG6" s="48" t="s">
        <v>205</v>
      </c>
      <c r="CH6" s="48" t="s">
        <v>206</v>
      </c>
      <c r="CI6" s="49" t="s">
        <v>207</v>
      </c>
      <c r="CJ6" s="48" t="s">
        <v>203</v>
      </c>
      <c r="CK6" s="48" t="s">
        <v>204</v>
      </c>
      <c r="CL6" s="48" t="s">
        <v>205</v>
      </c>
      <c r="CM6" s="48" t="s">
        <v>206</v>
      </c>
      <c r="CN6" s="49" t="s">
        <v>207</v>
      </c>
      <c r="CO6" s="48" t="s">
        <v>203</v>
      </c>
      <c r="CP6" s="48" t="s">
        <v>204</v>
      </c>
      <c r="CQ6" s="48" t="s">
        <v>205</v>
      </c>
      <c r="CR6" s="48" t="s">
        <v>206</v>
      </c>
      <c r="CS6" s="49" t="s">
        <v>207</v>
      </c>
      <c r="CT6" s="48" t="s">
        <v>203</v>
      </c>
      <c r="CU6" s="48" t="s">
        <v>204</v>
      </c>
      <c r="CV6" s="48" t="s">
        <v>205</v>
      </c>
      <c r="CW6" s="48" t="s">
        <v>206</v>
      </c>
      <c r="CX6" s="49" t="s">
        <v>207</v>
      </c>
      <c r="CY6" s="48" t="s">
        <v>203</v>
      </c>
      <c r="CZ6" s="48" t="s">
        <v>204</v>
      </c>
      <c r="DA6" s="48" t="s">
        <v>205</v>
      </c>
      <c r="DB6" s="48" t="s">
        <v>206</v>
      </c>
      <c r="DC6" s="49" t="s">
        <v>207</v>
      </c>
      <c r="DD6" s="48" t="s">
        <v>203</v>
      </c>
      <c r="DE6" s="48" t="s">
        <v>204</v>
      </c>
      <c r="DF6" s="48" t="s">
        <v>205</v>
      </c>
      <c r="DG6" s="48" t="s">
        <v>206</v>
      </c>
      <c r="DH6" s="49" t="s">
        <v>207</v>
      </c>
      <c r="DI6" s="48" t="s">
        <v>203</v>
      </c>
      <c r="DJ6" s="48" t="s">
        <v>204</v>
      </c>
      <c r="DK6" s="48" t="s">
        <v>205</v>
      </c>
      <c r="DL6" s="48" t="s">
        <v>206</v>
      </c>
      <c r="DM6" s="49" t="s">
        <v>207</v>
      </c>
      <c r="DN6" s="48" t="s">
        <v>203</v>
      </c>
      <c r="DO6" s="48" t="s">
        <v>204</v>
      </c>
      <c r="DP6" s="48" t="s">
        <v>205</v>
      </c>
      <c r="DQ6" s="48" t="s">
        <v>206</v>
      </c>
      <c r="DR6" s="49" t="s">
        <v>207</v>
      </c>
      <c r="DS6" s="48" t="s">
        <v>203</v>
      </c>
      <c r="DT6" s="48" t="s">
        <v>204</v>
      </c>
      <c r="DU6" s="48" t="s">
        <v>205</v>
      </c>
      <c r="DV6" s="48" t="s">
        <v>206</v>
      </c>
      <c r="DW6" s="49" t="s">
        <v>207</v>
      </c>
      <c r="DX6" s="48" t="s">
        <v>203</v>
      </c>
      <c r="DY6" s="48" t="s">
        <v>204</v>
      </c>
      <c r="DZ6" s="48" t="s">
        <v>205</v>
      </c>
      <c r="EA6" s="48" t="s">
        <v>206</v>
      </c>
      <c r="EB6" s="49" t="s">
        <v>207</v>
      </c>
      <c r="EC6" s="48" t="s">
        <v>203</v>
      </c>
      <c r="ED6" s="48" t="s">
        <v>204</v>
      </c>
      <c r="EE6" s="48" t="s">
        <v>205</v>
      </c>
      <c r="EF6" s="48" t="s">
        <v>206</v>
      </c>
      <c r="EG6" s="49" t="s">
        <v>207</v>
      </c>
      <c r="EH6" s="48" t="s">
        <v>203</v>
      </c>
      <c r="EI6" s="48" t="s">
        <v>204</v>
      </c>
      <c r="EJ6" s="48" t="s">
        <v>205</v>
      </c>
      <c r="EK6" s="48" t="s">
        <v>206</v>
      </c>
      <c r="EL6" s="49" t="s">
        <v>207</v>
      </c>
      <c r="EM6" s="48" t="s">
        <v>203</v>
      </c>
      <c r="EN6" s="48" t="s">
        <v>204</v>
      </c>
      <c r="EO6" s="48" t="s">
        <v>205</v>
      </c>
      <c r="EP6" s="48" t="s">
        <v>206</v>
      </c>
      <c r="EQ6" s="49" t="s">
        <v>207</v>
      </c>
      <c r="ER6" s="48" t="s">
        <v>203</v>
      </c>
      <c r="ES6" s="48" t="s">
        <v>204</v>
      </c>
      <c r="ET6" s="48" t="s">
        <v>205</v>
      </c>
      <c r="EU6" s="48" t="s">
        <v>206</v>
      </c>
      <c r="EV6" s="49" t="s">
        <v>207</v>
      </c>
      <c r="EW6" s="48" t="s">
        <v>203</v>
      </c>
      <c r="EX6" s="48" t="s">
        <v>204</v>
      </c>
      <c r="EY6" s="48" t="s">
        <v>205</v>
      </c>
      <c r="EZ6" s="48" t="s">
        <v>206</v>
      </c>
      <c r="FA6" s="49" t="s">
        <v>207</v>
      </c>
      <c r="FB6" s="48" t="s">
        <v>203</v>
      </c>
      <c r="FC6" s="48" t="s">
        <v>204</v>
      </c>
      <c r="FD6" s="48" t="s">
        <v>205</v>
      </c>
      <c r="FE6" s="48" t="s">
        <v>206</v>
      </c>
      <c r="FF6" s="49" t="s">
        <v>207</v>
      </c>
      <c r="FG6" s="48" t="s">
        <v>203</v>
      </c>
      <c r="FH6" s="48" t="s">
        <v>204</v>
      </c>
      <c r="FI6" s="48" t="s">
        <v>205</v>
      </c>
      <c r="FJ6" s="48" t="s">
        <v>206</v>
      </c>
      <c r="FK6" s="49" t="s">
        <v>207</v>
      </c>
      <c r="FL6" s="48" t="s">
        <v>203</v>
      </c>
      <c r="FM6" s="48" t="s">
        <v>204</v>
      </c>
      <c r="FN6" s="48" t="s">
        <v>205</v>
      </c>
      <c r="FO6" s="48" t="s">
        <v>206</v>
      </c>
      <c r="FP6" s="49" t="s">
        <v>207</v>
      </c>
      <c r="FQ6" s="48" t="s">
        <v>203</v>
      </c>
      <c r="FR6" s="48" t="s">
        <v>204</v>
      </c>
      <c r="FS6" s="48" t="s">
        <v>205</v>
      </c>
      <c r="FT6" s="48" t="s">
        <v>206</v>
      </c>
      <c r="FU6" s="49" t="s">
        <v>207</v>
      </c>
      <c r="FV6" s="48" t="s">
        <v>203</v>
      </c>
      <c r="FW6" s="48" t="s">
        <v>204</v>
      </c>
      <c r="FX6" s="48" t="s">
        <v>205</v>
      </c>
      <c r="FY6" s="48" t="s">
        <v>206</v>
      </c>
      <c r="FZ6" s="49" t="s">
        <v>207</v>
      </c>
      <c r="GA6" s="62"/>
      <c r="GB6" s="62"/>
      <c r="GC6" s="62"/>
      <c r="GD6" s="62"/>
      <c r="GE6" s="62"/>
    </row>
    <row r="7" spans="1:187" ht="15.75" customHeight="1" x14ac:dyDescent="0.2">
      <c r="A7" s="50" t="s">
        <v>208</v>
      </c>
      <c r="B7" s="3"/>
      <c r="C7" s="19"/>
      <c r="D7" s="19"/>
      <c r="E7" s="19"/>
      <c r="F7" s="19"/>
      <c r="G7" s="51">
        <f t="shared" ref="G7:G18" si="0">SUM(C7:F7)</f>
        <v>0</v>
      </c>
      <c r="H7" s="19"/>
      <c r="I7" s="19"/>
      <c r="J7" s="19"/>
      <c r="K7" s="19"/>
      <c r="L7" s="51">
        <f t="shared" ref="L7:L18" si="1">SUM(H7:K7)</f>
        <v>0</v>
      </c>
      <c r="M7" s="19"/>
      <c r="N7" s="19"/>
      <c r="O7" s="19"/>
      <c r="P7" s="19"/>
      <c r="Q7" s="51">
        <f t="shared" ref="Q7:Q18" si="2">SUM(M7:P7)</f>
        <v>0</v>
      </c>
      <c r="R7" s="19"/>
      <c r="S7" s="19"/>
      <c r="T7" s="19"/>
      <c r="U7" s="19"/>
      <c r="V7" s="51">
        <f t="shared" ref="V7:V18" si="3">SUM(R7:U7)</f>
        <v>0</v>
      </c>
      <c r="W7" s="19"/>
      <c r="X7" s="19"/>
      <c r="Y7" s="19"/>
      <c r="Z7" s="19"/>
      <c r="AA7" s="51">
        <f t="shared" ref="AA7:AA18" si="4">SUM(W7:Z7)</f>
        <v>0</v>
      </c>
      <c r="AB7" s="19"/>
      <c r="AC7" s="19"/>
      <c r="AD7" s="19"/>
      <c r="AE7" s="19"/>
      <c r="AF7" s="51">
        <f t="shared" ref="AF7:AF18" si="5">SUM(AB7:AE7)</f>
        <v>0</v>
      </c>
      <c r="AG7" s="19"/>
      <c r="AH7" s="19"/>
      <c r="AI7" s="19"/>
      <c r="AJ7" s="19"/>
      <c r="AK7" s="51">
        <f t="shared" ref="AK7:AK18" si="6">SUM(AG7:AJ7)</f>
        <v>0</v>
      </c>
      <c r="AL7" s="19"/>
      <c r="AM7" s="19"/>
      <c r="AN7" s="19"/>
      <c r="AO7" s="19"/>
      <c r="AP7" s="51">
        <f t="shared" ref="AP7:AP18" si="7">SUM(AL7:AO7)</f>
        <v>0</v>
      </c>
      <c r="AQ7" s="19"/>
      <c r="AR7" s="19"/>
      <c r="AS7" s="19"/>
      <c r="AT7" s="19"/>
      <c r="AU7" s="51">
        <f t="shared" ref="AU7:AU18" si="8">SUM(AQ7:AT7)</f>
        <v>0</v>
      </c>
      <c r="AV7" s="19"/>
      <c r="AW7" s="19"/>
      <c r="AX7" s="19"/>
      <c r="AY7" s="19"/>
      <c r="AZ7" s="51">
        <f t="shared" ref="AZ7:AZ18" si="9">SUM(AV7:AY7)</f>
        <v>0</v>
      </c>
      <c r="BA7" s="19"/>
      <c r="BB7" s="19"/>
      <c r="BC7" s="19"/>
      <c r="BD7" s="19"/>
      <c r="BE7" s="51">
        <f t="shared" ref="BE7:BE18" si="10">SUM(BA7:BD7)</f>
        <v>0</v>
      </c>
      <c r="BF7" s="19"/>
      <c r="BG7" s="19"/>
      <c r="BH7" s="19"/>
      <c r="BI7" s="19"/>
      <c r="BJ7" s="51">
        <f t="shared" ref="BJ7:BJ18" si="11">SUM(BF7:BI7)</f>
        <v>0</v>
      </c>
      <c r="BK7" s="19"/>
      <c r="BL7" s="19"/>
      <c r="BM7" s="19"/>
      <c r="BN7" s="19"/>
      <c r="BO7" s="51">
        <f t="shared" ref="BO7:BO18" si="12">SUM(BK7:BN7)</f>
        <v>0</v>
      </c>
      <c r="BP7" s="19"/>
      <c r="BQ7" s="19"/>
      <c r="BR7" s="19"/>
      <c r="BS7" s="19"/>
      <c r="BT7" s="51">
        <f t="shared" ref="BT7:BT18" si="13">SUM(BP7:BS7)</f>
        <v>0</v>
      </c>
      <c r="BU7" s="19"/>
      <c r="BV7" s="19"/>
      <c r="BW7" s="19"/>
      <c r="BX7" s="19"/>
      <c r="BY7" s="51">
        <f t="shared" ref="BY7:BY18" si="14">SUM(BU7:BX7)</f>
        <v>0</v>
      </c>
      <c r="BZ7" s="19"/>
      <c r="CA7" s="19"/>
      <c r="CB7" s="19"/>
      <c r="CC7" s="19"/>
      <c r="CD7" s="51">
        <f t="shared" ref="CD7:CD18" si="15">SUM(BZ7:CC7)</f>
        <v>0</v>
      </c>
      <c r="CE7" s="19"/>
      <c r="CF7" s="19"/>
      <c r="CG7" s="19"/>
      <c r="CH7" s="19"/>
      <c r="CI7" s="51">
        <f t="shared" ref="CI7:CI18" si="16">SUM(CE7:CH7)</f>
        <v>0</v>
      </c>
      <c r="CJ7" s="19"/>
      <c r="CK7" s="19"/>
      <c r="CL7" s="19"/>
      <c r="CM7" s="19"/>
      <c r="CN7" s="51">
        <f t="shared" ref="CN7:CN18" si="17">SUM(CJ7:CM7)</f>
        <v>0</v>
      </c>
      <c r="CO7" s="19"/>
      <c r="CP7" s="19"/>
      <c r="CQ7" s="19"/>
      <c r="CR7" s="19"/>
      <c r="CS7" s="51">
        <f t="shared" ref="CS7:CS18" si="18">SUM(CO7:CR7)</f>
        <v>0</v>
      </c>
      <c r="CT7" s="19"/>
      <c r="CU7" s="19"/>
      <c r="CV7" s="19"/>
      <c r="CW7" s="19"/>
      <c r="CX7" s="51">
        <f t="shared" ref="CX7:CX18" si="19">SUM(CT7:CW7)</f>
        <v>0</v>
      </c>
      <c r="CY7" s="19"/>
      <c r="CZ7" s="19"/>
      <c r="DA7" s="19"/>
      <c r="DB7" s="19"/>
      <c r="DC7" s="51">
        <f t="shared" ref="DC7:DC18" si="20">SUM(CY7:DB7)</f>
        <v>0</v>
      </c>
      <c r="DD7" s="19"/>
      <c r="DE7" s="19"/>
      <c r="DF7" s="19"/>
      <c r="DG7" s="19"/>
      <c r="DH7" s="51">
        <f t="shared" ref="DH7:DH18" si="21">SUM(DD7:DG7)</f>
        <v>0</v>
      </c>
      <c r="DI7" s="19"/>
      <c r="DJ7" s="19"/>
      <c r="DK7" s="19"/>
      <c r="DL7" s="19"/>
      <c r="DM7" s="51">
        <f t="shared" ref="DM7:DM18" si="22">SUM(DI7:DL7)</f>
        <v>0</v>
      </c>
      <c r="DN7" s="19"/>
      <c r="DO7" s="19"/>
      <c r="DP7" s="19"/>
      <c r="DQ7" s="19"/>
      <c r="DR7" s="51">
        <f t="shared" ref="DR7:DR18" si="23">SUM(DN7:DQ7)</f>
        <v>0</v>
      </c>
      <c r="DS7" s="19"/>
      <c r="DT7" s="19"/>
      <c r="DU7" s="19"/>
      <c r="DV7" s="19"/>
      <c r="DW7" s="51">
        <f t="shared" ref="DW7:DW18" si="24">SUM(DS7:DV7)</f>
        <v>0</v>
      </c>
      <c r="DX7" s="19"/>
      <c r="DY7" s="19"/>
      <c r="DZ7" s="19"/>
      <c r="EA7" s="19"/>
      <c r="EB7" s="51">
        <f t="shared" ref="EB7:EB18" si="25">SUM(DX7:EA7)</f>
        <v>0</v>
      </c>
      <c r="EC7" s="19"/>
      <c r="ED7" s="19"/>
      <c r="EE7" s="19"/>
      <c r="EF7" s="19"/>
      <c r="EG7" s="51">
        <f t="shared" ref="EG7:EG18" si="26">SUM(EC7:EF7)</f>
        <v>0</v>
      </c>
      <c r="EH7" s="19"/>
      <c r="EI7" s="19"/>
      <c r="EJ7" s="19"/>
      <c r="EK7" s="19"/>
      <c r="EL7" s="51">
        <f t="shared" ref="EL7:EL18" si="27">SUM(EH7:EK7)</f>
        <v>0</v>
      </c>
      <c r="EM7" s="19"/>
      <c r="EN7" s="19"/>
      <c r="EO7" s="19"/>
      <c r="EP7" s="19"/>
      <c r="EQ7" s="51">
        <f t="shared" ref="EQ7:EQ18" si="28">SUM(EM7:EP7)</f>
        <v>0</v>
      </c>
      <c r="ER7" s="19"/>
      <c r="ES7" s="19"/>
      <c r="ET7" s="19"/>
      <c r="EU7" s="19"/>
      <c r="EV7" s="51">
        <f t="shared" ref="EV7:EV18" si="29">SUM(ER7:EU7)</f>
        <v>0</v>
      </c>
      <c r="EW7" s="19"/>
      <c r="EX7" s="19"/>
      <c r="EY7" s="19"/>
      <c r="EZ7" s="19"/>
      <c r="FA7" s="51">
        <f t="shared" ref="FA7:FA18" si="30">SUM(EW7:EZ7)</f>
        <v>0</v>
      </c>
      <c r="FB7" s="19"/>
      <c r="FC7" s="19"/>
      <c r="FD7" s="19"/>
      <c r="FE7" s="19"/>
      <c r="FF7" s="51">
        <f t="shared" ref="FF7:FF18" si="31">SUM(FB7:FE7)</f>
        <v>0</v>
      </c>
      <c r="FG7" s="19"/>
      <c r="FH7" s="19"/>
      <c r="FI7" s="19"/>
      <c r="FJ7" s="19"/>
      <c r="FK7" s="51">
        <f t="shared" ref="FK7:FK18" si="32">SUM(FG7:FJ7)</f>
        <v>0</v>
      </c>
      <c r="FL7" s="19"/>
      <c r="FM7" s="19"/>
      <c r="FN7" s="19"/>
      <c r="FO7" s="19"/>
      <c r="FP7" s="51">
        <f t="shared" ref="FP7:FP18" si="33">SUM(FL7:FO7)</f>
        <v>0</v>
      </c>
      <c r="FQ7" s="19"/>
      <c r="FR7" s="19"/>
      <c r="FS7" s="19"/>
      <c r="FT7" s="19"/>
      <c r="FU7" s="51">
        <f t="shared" ref="FU7:FU18" si="34">SUM(FQ7:FT7)</f>
        <v>0</v>
      </c>
      <c r="FV7" s="19"/>
      <c r="FW7" s="19"/>
      <c r="FX7" s="19"/>
      <c r="FY7" s="19"/>
      <c r="FZ7" s="51">
        <f t="shared" ref="FZ7:FZ18" si="35">SUM(FV7:FY7)</f>
        <v>0</v>
      </c>
      <c r="GA7" s="62"/>
      <c r="GB7" s="62"/>
      <c r="GC7" s="62"/>
      <c r="GD7" s="62"/>
      <c r="GE7" s="62"/>
    </row>
    <row r="8" spans="1:187" ht="15.75" customHeight="1" x14ac:dyDescent="0.2">
      <c r="A8" s="50" t="s">
        <v>209</v>
      </c>
      <c r="B8" s="3"/>
      <c r="C8" s="19"/>
      <c r="D8" s="19"/>
      <c r="E8" s="19"/>
      <c r="F8" s="19"/>
      <c r="G8" s="51">
        <f t="shared" si="0"/>
        <v>0</v>
      </c>
      <c r="H8" s="19"/>
      <c r="I8" s="19"/>
      <c r="J8" s="19"/>
      <c r="K8" s="19"/>
      <c r="L8" s="51">
        <f t="shared" si="1"/>
        <v>0</v>
      </c>
      <c r="M8" s="19"/>
      <c r="N8" s="19"/>
      <c r="O8" s="19"/>
      <c r="P8" s="19"/>
      <c r="Q8" s="51">
        <f t="shared" si="2"/>
        <v>0</v>
      </c>
      <c r="R8" s="19"/>
      <c r="S8" s="19"/>
      <c r="T8" s="19"/>
      <c r="U8" s="19"/>
      <c r="V8" s="51">
        <f t="shared" si="3"/>
        <v>0</v>
      </c>
      <c r="W8" s="19"/>
      <c r="X8" s="19"/>
      <c r="Y8" s="19"/>
      <c r="Z8" s="19"/>
      <c r="AA8" s="51">
        <f t="shared" si="4"/>
        <v>0</v>
      </c>
      <c r="AB8" s="19"/>
      <c r="AC8" s="19"/>
      <c r="AD8" s="19"/>
      <c r="AE8" s="19"/>
      <c r="AF8" s="51">
        <f t="shared" si="5"/>
        <v>0</v>
      </c>
      <c r="AG8" s="19"/>
      <c r="AH8" s="19"/>
      <c r="AI8" s="19"/>
      <c r="AJ8" s="19"/>
      <c r="AK8" s="51">
        <f t="shared" si="6"/>
        <v>0</v>
      </c>
      <c r="AL8" s="19"/>
      <c r="AM8" s="19"/>
      <c r="AN8" s="19"/>
      <c r="AO8" s="19"/>
      <c r="AP8" s="51">
        <f t="shared" si="7"/>
        <v>0</v>
      </c>
      <c r="AQ8" s="19"/>
      <c r="AR8" s="19"/>
      <c r="AS8" s="19"/>
      <c r="AT8" s="19"/>
      <c r="AU8" s="51">
        <f t="shared" si="8"/>
        <v>0</v>
      </c>
      <c r="AV8" s="19"/>
      <c r="AW8" s="19"/>
      <c r="AX8" s="19"/>
      <c r="AY8" s="19"/>
      <c r="AZ8" s="51">
        <f t="shared" si="9"/>
        <v>0</v>
      </c>
      <c r="BA8" s="19"/>
      <c r="BB8" s="19"/>
      <c r="BC8" s="19"/>
      <c r="BD8" s="19"/>
      <c r="BE8" s="51">
        <f t="shared" si="10"/>
        <v>0</v>
      </c>
      <c r="BF8" s="19"/>
      <c r="BG8" s="19"/>
      <c r="BH8" s="19"/>
      <c r="BI8" s="19"/>
      <c r="BJ8" s="51">
        <f t="shared" si="11"/>
        <v>0</v>
      </c>
      <c r="BK8" s="19"/>
      <c r="BL8" s="19"/>
      <c r="BM8" s="19"/>
      <c r="BN8" s="19"/>
      <c r="BO8" s="51">
        <f t="shared" si="12"/>
        <v>0</v>
      </c>
      <c r="BP8" s="19"/>
      <c r="BQ8" s="19"/>
      <c r="BR8" s="19"/>
      <c r="BS8" s="19"/>
      <c r="BT8" s="51">
        <f t="shared" si="13"/>
        <v>0</v>
      </c>
      <c r="BU8" s="19"/>
      <c r="BV8" s="19"/>
      <c r="BW8" s="19"/>
      <c r="BX8" s="19"/>
      <c r="BY8" s="51">
        <f t="shared" si="14"/>
        <v>0</v>
      </c>
      <c r="BZ8" s="19"/>
      <c r="CA8" s="19"/>
      <c r="CB8" s="19"/>
      <c r="CC8" s="19"/>
      <c r="CD8" s="51">
        <f t="shared" si="15"/>
        <v>0</v>
      </c>
      <c r="CE8" s="19"/>
      <c r="CF8" s="19"/>
      <c r="CG8" s="19"/>
      <c r="CH8" s="19"/>
      <c r="CI8" s="51">
        <f t="shared" si="16"/>
        <v>0</v>
      </c>
      <c r="CJ8" s="19"/>
      <c r="CK8" s="19"/>
      <c r="CL8" s="19"/>
      <c r="CM8" s="19"/>
      <c r="CN8" s="51">
        <f t="shared" si="17"/>
        <v>0</v>
      </c>
      <c r="CO8" s="19"/>
      <c r="CP8" s="19"/>
      <c r="CQ8" s="19"/>
      <c r="CR8" s="19"/>
      <c r="CS8" s="51">
        <f t="shared" si="18"/>
        <v>0</v>
      </c>
      <c r="CT8" s="19"/>
      <c r="CU8" s="19"/>
      <c r="CV8" s="19"/>
      <c r="CW8" s="19"/>
      <c r="CX8" s="51">
        <f t="shared" si="19"/>
        <v>0</v>
      </c>
      <c r="CY8" s="19"/>
      <c r="CZ8" s="19"/>
      <c r="DA8" s="19"/>
      <c r="DB8" s="19"/>
      <c r="DC8" s="51">
        <f t="shared" si="20"/>
        <v>0</v>
      </c>
      <c r="DD8" s="19"/>
      <c r="DE8" s="19"/>
      <c r="DF8" s="19"/>
      <c r="DG8" s="19"/>
      <c r="DH8" s="51">
        <f t="shared" si="21"/>
        <v>0</v>
      </c>
      <c r="DI8" s="19"/>
      <c r="DJ8" s="19"/>
      <c r="DK8" s="19"/>
      <c r="DL8" s="19"/>
      <c r="DM8" s="51">
        <f t="shared" si="22"/>
        <v>0</v>
      </c>
      <c r="DN8" s="19"/>
      <c r="DO8" s="19"/>
      <c r="DP8" s="19"/>
      <c r="DQ8" s="19"/>
      <c r="DR8" s="51">
        <f t="shared" si="23"/>
        <v>0</v>
      </c>
      <c r="DS8" s="19"/>
      <c r="DT8" s="19"/>
      <c r="DU8" s="19"/>
      <c r="DV8" s="19"/>
      <c r="DW8" s="51">
        <f t="shared" si="24"/>
        <v>0</v>
      </c>
      <c r="DX8" s="19"/>
      <c r="DY8" s="19"/>
      <c r="DZ8" s="19"/>
      <c r="EA8" s="19"/>
      <c r="EB8" s="51">
        <f t="shared" si="25"/>
        <v>0</v>
      </c>
      <c r="EC8" s="19"/>
      <c r="ED8" s="19"/>
      <c r="EE8" s="19"/>
      <c r="EF8" s="19"/>
      <c r="EG8" s="51">
        <f t="shared" si="26"/>
        <v>0</v>
      </c>
      <c r="EH8" s="19"/>
      <c r="EI8" s="19"/>
      <c r="EJ8" s="19"/>
      <c r="EK8" s="19"/>
      <c r="EL8" s="51">
        <f t="shared" si="27"/>
        <v>0</v>
      </c>
      <c r="EM8" s="19"/>
      <c r="EN8" s="19"/>
      <c r="EO8" s="19"/>
      <c r="EP8" s="19"/>
      <c r="EQ8" s="51">
        <f t="shared" si="28"/>
        <v>0</v>
      </c>
      <c r="ER8" s="19"/>
      <c r="ES8" s="19"/>
      <c r="ET8" s="19"/>
      <c r="EU8" s="19"/>
      <c r="EV8" s="51">
        <f t="shared" si="29"/>
        <v>0</v>
      </c>
      <c r="EW8" s="19"/>
      <c r="EX8" s="19"/>
      <c r="EY8" s="19"/>
      <c r="EZ8" s="19"/>
      <c r="FA8" s="51">
        <f t="shared" si="30"/>
        <v>0</v>
      </c>
      <c r="FB8" s="19"/>
      <c r="FC8" s="19"/>
      <c r="FD8" s="19"/>
      <c r="FE8" s="19"/>
      <c r="FF8" s="51">
        <f t="shared" si="31"/>
        <v>0</v>
      </c>
      <c r="FG8" s="19"/>
      <c r="FH8" s="19"/>
      <c r="FI8" s="19"/>
      <c r="FJ8" s="19"/>
      <c r="FK8" s="51">
        <f t="shared" si="32"/>
        <v>0</v>
      </c>
      <c r="FL8" s="19"/>
      <c r="FM8" s="19"/>
      <c r="FN8" s="19"/>
      <c r="FO8" s="19"/>
      <c r="FP8" s="51">
        <f t="shared" si="33"/>
        <v>0</v>
      </c>
      <c r="FQ8" s="19"/>
      <c r="FR8" s="19"/>
      <c r="FS8" s="19"/>
      <c r="FT8" s="19"/>
      <c r="FU8" s="51">
        <f t="shared" si="34"/>
        <v>0</v>
      </c>
      <c r="FV8" s="19"/>
      <c r="FW8" s="19"/>
      <c r="FX8" s="19"/>
      <c r="FY8" s="19"/>
      <c r="FZ8" s="51">
        <f t="shared" si="35"/>
        <v>0</v>
      </c>
      <c r="GA8" s="62"/>
      <c r="GB8" s="62"/>
      <c r="GC8" s="62"/>
      <c r="GD8" s="62"/>
      <c r="GE8" s="62"/>
    </row>
    <row r="9" spans="1:187" ht="15.75" customHeight="1" x14ac:dyDescent="0.2">
      <c r="A9" s="50" t="s">
        <v>210</v>
      </c>
      <c r="B9" s="3"/>
      <c r="C9" s="19"/>
      <c r="D9" s="19"/>
      <c r="E9" s="19"/>
      <c r="F9" s="19"/>
      <c r="G9" s="51">
        <f t="shared" si="0"/>
        <v>0</v>
      </c>
      <c r="H9" s="19"/>
      <c r="I9" s="19"/>
      <c r="J9" s="19"/>
      <c r="K9" s="19"/>
      <c r="L9" s="51">
        <f t="shared" si="1"/>
        <v>0</v>
      </c>
      <c r="M9" s="19"/>
      <c r="N9" s="19"/>
      <c r="O9" s="19"/>
      <c r="P9" s="19"/>
      <c r="Q9" s="51">
        <f t="shared" si="2"/>
        <v>0</v>
      </c>
      <c r="R9" s="19"/>
      <c r="S9" s="19"/>
      <c r="T9" s="19"/>
      <c r="U9" s="19"/>
      <c r="V9" s="51">
        <f t="shared" si="3"/>
        <v>0</v>
      </c>
      <c r="W9" s="19"/>
      <c r="X9" s="19"/>
      <c r="Y9" s="19"/>
      <c r="Z9" s="19"/>
      <c r="AA9" s="51">
        <f t="shared" si="4"/>
        <v>0</v>
      </c>
      <c r="AB9" s="19"/>
      <c r="AC9" s="19"/>
      <c r="AD9" s="19"/>
      <c r="AE9" s="19"/>
      <c r="AF9" s="51">
        <f t="shared" si="5"/>
        <v>0</v>
      </c>
      <c r="AG9" s="19"/>
      <c r="AH9" s="19"/>
      <c r="AI9" s="19"/>
      <c r="AJ9" s="19"/>
      <c r="AK9" s="51">
        <f t="shared" si="6"/>
        <v>0</v>
      </c>
      <c r="AL9" s="19"/>
      <c r="AM9" s="19"/>
      <c r="AN9" s="19"/>
      <c r="AO9" s="19"/>
      <c r="AP9" s="51">
        <f t="shared" si="7"/>
        <v>0</v>
      </c>
      <c r="AQ9" s="19"/>
      <c r="AR9" s="19"/>
      <c r="AS9" s="19"/>
      <c r="AT9" s="19"/>
      <c r="AU9" s="51">
        <f t="shared" si="8"/>
        <v>0</v>
      </c>
      <c r="AV9" s="19"/>
      <c r="AW9" s="19"/>
      <c r="AX9" s="19"/>
      <c r="AY9" s="19"/>
      <c r="AZ9" s="51">
        <f t="shared" si="9"/>
        <v>0</v>
      </c>
      <c r="BA9" s="19"/>
      <c r="BB9" s="19"/>
      <c r="BC9" s="19"/>
      <c r="BD9" s="19"/>
      <c r="BE9" s="51">
        <f t="shared" si="10"/>
        <v>0</v>
      </c>
      <c r="BF9" s="19"/>
      <c r="BG9" s="19"/>
      <c r="BH9" s="19"/>
      <c r="BI9" s="19"/>
      <c r="BJ9" s="51">
        <f t="shared" si="11"/>
        <v>0</v>
      </c>
      <c r="BK9" s="19"/>
      <c r="BL9" s="19"/>
      <c r="BM9" s="19"/>
      <c r="BN9" s="19"/>
      <c r="BO9" s="51">
        <f t="shared" si="12"/>
        <v>0</v>
      </c>
      <c r="BP9" s="19"/>
      <c r="BQ9" s="19"/>
      <c r="BR9" s="19"/>
      <c r="BS9" s="19"/>
      <c r="BT9" s="51">
        <f t="shared" si="13"/>
        <v>0</v>
      </c>
      <c r="BU9" s="19"/>
      <c r="BV9" s="19"/>
      <c r="BW9" s="19"/>
      <c r="BX9" s="19"/>
      <c r="BY9" s="51">
        <f t="shared" si="14"/>
        <v>0</v>
      </c>
      <c r="BZ9" s="19"/>
      <c r="CA9" s="19"/>
      <c r="CB9" s="19"/>
      <c r="CC9" s="19"/>
      <c r="CD9" s="51">
        <f t="shared" si="15"/>
        <v>0</v>
      </c>
      <c r="CE9" s="19"/>
      <c r="CF9" s="19"/>
      <c r="CG9" s="19"/>
      <c r="CH9" s="19"/>
      <c r="CI9" s="51">
        <f t="shared" si="16"/>
        <v>0</v>
      </c>
      <c r="CJ9" s="19"/>
      <c r="CK9" s="19"/>
      <c r="CL9" s="19"/>
      <c r="CM9" s="19"/>
      <c r="CN9" s="51">
        <f t="shared" si="17"/>
        <v>0</v>
      </c>
      <c r="CO9" s="19"/>
      <c r="CP9" s="19"/>
      <c r="CQ9" s="19"/>
      <c r="CR9" s="19"/>
      <c r="CS9" s="51">
        <f t="shared" si="18"/>
        <v>0</v>
      </c>
      <c r="CT9" s="19"/>
      <c r="CU9" s="19"/>
      <c r="CV9" s="19"/>
      <c r="CW9" s="19"/>
      <c r="CX9" s="51">
        <f t="shared" si="19"/>
        <v>0</v>
      </c>
      <c r="CY9" s="19"/>
      <c r="CZ9" s="19"/>
      <c r="DA9" s="19"/>
      <c r="DB9" s="19"/>
      <c r="DC9" s="51">
        <f t="shared" si="20"/>
        <v>0</v>
      </c>
      <c r="DD9" s="19"/>
      <c r="DE9" s="19"/>
      <c r="DF9" s="19"/>
      <c r="DG9" s="19"/>
      <c r="DH9" s="51">
        <f t="shared" si="21"/>
        <v>0</v>
      </c>
      <c r="DI9" s="19"/>
      <c r="DJ9" s="19"/>
      <c r="DK9" s="19"/>
      <c r="DL9" s="19"/>
      <c r="DM9" s="51">
        <f t="shared" si="22"/>
        <v>0</v>
      </c>
      <c r="DN9" s="19"/>
      <c r="DO9" s="19"/>
      <c r="DP9" s="19"/>
      <c r="DQ9" s="19"/>
      <c r="DR9" s="51">
        <f t="shared" si="23"/>
        <v>0</v>
      </c>
      <c r="DS9" s="19"/>
      <c r="DT9" s="19"/>
      <c r="DU9" s="19"/>
      <c r="DV9" s="19"/>
      <c r="DW9" s="51">
        <f t="shared" si="24"/>
        <v>0</v>
      </c>
      <c r="DX9" s="19"/>
      <c r="DY9" s="19"/>
      <c r="DZ9" s="19"/>
      <c r="EA9" s="19"/>
      <c r="EB9" s="51">
        <f t="shared" si="25"/>
        <v>0</v>
      </c>
      <c r="EC9" s="19"/>
      <c r="ED9" s="19"/>
      <c r="EE9" s="19"/>
      <c r="EF9" s="19"/>
      <c r="EG9" s="51">
        <f t="shared" si="26"/>
        <v>0</v>
      </c>
      <c r="EH9" s="19"/>
      <c r="EI9" s="19"/>
      <c r="EJ9" s="19"/>
      <c r="EK9" s="19"/>
      <c r="EL9" s="51">
        <f t="shared" si="27"/>
        <v>0</v>
      </c>
      <c r="EM9" s="19"/>
      <c r="EN9" s="19"/>
      <c r="EO9" s="19"/>
      <c r="EP9" s="19"/>
      <c r="EQ9" s="51">
        <f t="shared" si="28"/>
        <v>0</v>
      </c>
      <c r="ER9" s="19"/>
      <c r="ES9" s="19"/>
      <c r="ET9" s="19"/>
      <c r="EU9" s="19"/>
      <c r="EV9" s="51">
        <f t="shared" si="29"/>
        <v>0</v>
      </c>
      <c r="EW9" s="19"/>
      <c r="EX9" s="19"/>
      <c r="EY9" s="19"/>
      <c r="EZ9" s="19"/>
      <c r="FA9" s="51">
        <f t="shared" si="30"/>
        <v>0</v>
      </c>
      <c r="FB9" s="19"/>
      <c r="FC9" s="19"/>
      <c r="FD9" s="19"/>
      <c r="FE9" s="19"/>
      <c r="FF9" s="51">
        <f t="shared" si="31"/>
        <v>0</v>
      </c>
      <c r="FG9" s="19"/>
      <c r="FH9" s="19"/>
      <c r="FI9" s="19"/>
      <c r="FJ9" s="19"/>
      <c r="FK9" s="51">
        <f t="shared" si="32"/>
        <v>0</v>
      </c>
      <c r="FL9" s="19"/>
      <c r="FM9" s="19"/>
      <c r="FN9" s="19"/>
      <c r="FO9" s="19"/>
      <c r="FP9" s="51">
        <f t="shared" si="33"/>
        <v>0</v>
      </c>
      <c r="FQ9" s="19"/>
      <c r="FR9" s="19"/>
      <c r="FS9" s="19"/>
      <c r="FT9" s="19"/>
      <c r="FU9" s="51">
        <f t="shared" si="34"/>
        <v>0</v>
      </c>
      <c r="FV9" s="19"/>
      <c r="FW9" s="19"/>
      <c r="FX9" s="19"/>
      <c r="FY9" s="19"/>
      <c r="FZ9" s="51">
        <f t="shared" si="35"/>
        <v>0</v>
      </c>
      <c r="GA9" s="62"/>
      <c r="GB9" s="62"/>
      <c r="GC9" s="62"/>
      <c r="GD9" s="62"/>
      <c r="GE9" s="62"/>
    </row>
    <row r="10" spans="1:187" ht="15.75" customHeight="1" x14ac:dyDescent="0.2">
      <c r="A10" s="50" t="s">
        <v>211</v>
      </c>
      <c r="B10" s="3"/>
      <c r="C10" s="19"/>
      <c r="D10" s="19"/>
      <c r="E10" s="19"/>
      <c r="F10" s="19"/>
      <c r="G10" s="51">
        <f t="shared" si="0"/>
        <v>0</v>
      </c>
      <c r="H10" s="19"/>
      <c r="I10" s="19"/>
      <c r="J10" s="19"/>
      <c r="K10" s="19"/>
      <c r="L10" s="51">
        <f t="shared" si="1"/>
        <v>0</v>
      </c>
      <c r="M10" s="19"/>
      <c r="N10" s="19"/>
      <c r="O10" s="19"/>
      <c r="P10" s="19"/>
      <c r="Q10" s="51">
        <f t="shared" si="2"/>
        <v>0</v>
      </c>
      <c r="R10" s="19"/>
      <c r="S10" s="19"/>
      <c r="T10" s="19"/>
      <c r="U10" s="19"/>
      <c r="V10" s="51">
        <f t="shared" si="3"/>
        <v>0</v>
      </c>
      <c r="W10" s="19"/>
      <c r="X10" s="19"/>
      <c r="Y10" s="19"/>
      <c r="Z10" s="19"/>
      <c r="AA10" s="51">
        <f t="shared" si="4"/>
        <v>0</v>
      </c>
      <c r="AB10" s="19"/>
      <c r="AC10" s="19"/>
      <c r="AD10" s="19"/>
      <c r="AE10" s="19"/>
      <c r="AF10" s="51">
        <f t="shared" si="5"/>
        <v>0</v>
      </c>
      <c r="AG10" s="19"/>
      <c r="AH10" s="19"/>
      <c r="AI10" s="19"/>
      <c r="AJ10" s="19"/>
      <c r="AK10" s="51">
        <f t="shared" si="6"/>
        <v>0</v>
      </c>
      <c r="AL10" s="19"/>
      <c r="AM10" s="19"/>
      <c r="AN10" s="19"/>
      <c r="AO10" s="19"/>
      <c r="AP10" s="51">
        <f t="shared" si="7"/>
        <v>0</v>
      </c>
      <c r="AQ10" s="19"/>
      <c r="AR10" s="19"/>
      <c r="AS10" s="19"/>
      <c r="AT10" s="19"/>
      <c r="AU10" s="51">
        <f t="shared" si="8"/>
        <v>0</v>
      </c>
      <c r="AV10" s="19"/>
      <c r="AW10" s="19"/>
      <c r="AX10" s="19"/>
      <c r="AY10" s="19"/>
      <c r="AZ10" s="51">
        <f t="shared" si="9"/>
        <v>0</v>
      </c>
      <c r="BA10" s="19"/>
      <c r="BB10" s="19"/>
      <c r="BC10" s="19"/>
      <c r="BD10" s="19"/>
      <c r="BE10" s="51">
        <f t="shared" si="10"/>
        <v>0</v>
      </c>
      <c r="BF10" s="19"/>
      <c r="BG10" s="19"/>
      <c r="BH10" s="19"/>
      <c r="BI10" s="19"/>
      <c r="BJ10" s="51">
        <f t="shared" si="11"/>
        <v>0</v>
      </c>
      <c r="BK10" s="19"/>
      <c r="BL10" s="19"/>
      <c r="BM10" s="19"/>
      <c r="BN10" s="19"/>
      <c r="BO10" s="51">
        <f t="shared" si="12"/>
        <v>0</v>
      </c>
      <c r="BP10" s="19"/>
      <c r="BQ10" s="19"/>
      <c r="BR10" s="19"/>
      <c r="BS10" s="19"/>
      <c r="BT10" s="51">
        <f t="shared" si="13"/>
        <v>0</v>
      </c>
      <c r="BU10" s="19"/>
      <c r="BV10" s="19"/>
      <c r="BW10" s="19"/>
      <c r="BX10" s="19"/>
      <c r="BY10" s="51">
        <f t="shared" si="14"/>
        <v>0</v>
      </c>
      <c r="BZ10" s="19"/>
      <c r="CA10" s="19"/>
      <c r="CB10" s="19"/>
      <c r="CC10" s="19"/>
      <c r="CD10" s="51">
        <f t="shared" si="15"/>
        <v>0</v>
      </c>
      <c r="CE10" s="19"/>
      <c r="CF10" s="19"/>
      <c r="CG10" s="19"/>
      <c r="CH10" s="19"/>
      <c r="CI10" s="51">
        <f t="shared" si="16"/>
        <v>0</v>
      </c>
      <c r="CJ10" s="19"/>
      <c r="CK10" s="19"/>
      <c r="CL10" s="19"/>
      <c r="CM10" s="19"/>
      <c r="CN10" s="51">
        <f t="shared" si="17"/>
        <v>0</v>
      </c>
      <c r="CO10" s="19"/>
      <c r="CP10" s="19"/>
      <c r="CQ10" s="19"/>
      <c r="CR10" s="19"/>
      <c r="CS10" s="51">
        <f t="shared" si="18"/>
        <v>0</v>
      </c>
      <c r="CT10" s="19"/>
      <c r="CU10" s="19"/>
      <c r="CV10" s="19"/>
      <c r="CW10" s="19"/>
      <c r="CX10" s="51">
        <f t="shared" si="19"/>
        <v>0</v>
      </c>
      <c r="CY10" s="19"/>
      <c r="CZ10" s="19"/>
      <c r="DA10" s="19"/>
      <c r="DB10" s="19"/>
      <c r="DC10" s="51">
        <f t="shared" si="20"/>
        <v>0</v>
      </c>
      <c r="DD10" s="19"/>
      <c r="DE10" s="19"/>
      <c r="DF10" s="19"/>
      <c r="DG10" s="19"/>
      <c r="DH10" s="51">
        <f t="shared" si="21"/>
        <v>0</v>
      </c>
      <c r="DI10" s="19"/>
      <c r="DJ10" s="19"/>
      <c r="DK10" s="19"/>
      <c r="DL10" s="19"/>
      <c r="DM10" s="51">
        <f t="shared" si="22"/>
        <v>0</v>
      </c>
      <c r="DN10" s="19"/>
      <c r="DO10" s="19"/>
      <c r="DP10" s="19"/>
      <c r="DQ10" s="19"/>
      <c r="DR10" s="51">
        <f t="shared" si="23"/>
        <v>0</v>
      </c>
      <c r="DS10" s="19"/>
      <c r="DT10" s="19"/>
      <c r="DU10" s="19"/>
      <c r="DV10" s="19"/>
      <c r="DW10" s="51">
        <f t="shared" si="24"/>
        <v>0</v>
      </c>
      <c r="DX10" s="19"/>
      <c r="DY10" s="19"/>
      <c r="DZ10" s="19"/>
      <c r="EA10" s="19"/>
      <c r="EB10" s="51">
        <f t="shared" si="25"/>
        <v>0</v>
      </c>
      <c r="EC10" s="19"/>
      <c r="ED10" s="19"/>
      <c r="EE10" s="19"/>
      <c r="EF10" s="19"/>
      <c r="EG10" s="51">
        <f t="shared" si="26"/>
        <v>0</v>
      </c>
      <c r="EH10" s="19"/>
      <c r="EI10" s="19"/>
      <c r="EJ10" s="19"/>
      <c r="EK10" s="19"/>
      <c r="EL10" s="51">
        <f t="shared" si="27"/>
        <v>0</v>
      </c>
      <c r="EM10" s="19"/>
      <c r="EN10" s="19"/>
      <c r="EO10" s="19"/>
      <c r="EP10" s="19"/>
      <c r="EQ10" s="51">
        <f t="shared" si="28"/>
        <v>0</v>
      </c>
      <c r="ER10" s="19"/>
      <c r="ES10" s="19"/>
      <c r="ET10" s="19"/>
      <c r="EU10" s="19"/>
      <c r="EV10" s="51">
        <f t="shared" si="29"/>
        <v>0</v>
      </c>
      <c r="EW10" s="19"/>
      <c r="EX10" s="19"/>
      <c r="EY10" s="19"/>
      <c r="EZ10" s="19"/>
      <c r="FA10" s="51">
        <f t="shared" si="30"/>
        <v>0</v>
      </c>
      <c r="FB10" s="19"/>
      <c r="FC10" s="19"/>
      <c r="FD10" s="19"/>
      <c r="FE10" s="19"/>
      <c r="FF10" s="51">
        <f t="shared" si="31"/>
        <v>0</v>
      </c>
      <c r="FG10" s="19"/>
      <c r="FH10" s="19"/>
      <c r="FI10" s="19"/>
      <c r="FJ10" s="19"/>
      <c r="FK10" s="51">
        <f t="shared" si="32"/>
        <v>0</v>
      </c>
      <c r="FL10" s="19"/>
      <c r="FM10" s="19"/>
      <c r="FN10" s="19"/>
      <c r="FO10" s="19"/>
      <c r="FP10" s="51">
        <f t="shared" si="33"/>
        <v>0</v>
      </c>
      <c r="FQ10" s="19"/>
      <c r="FR10" s="19"/>
      <c r="FS10" s="19"/>
      <c r="FT10" s="19"/>
      <c r="FU10" s="51">
        <f t="shared" si="34"/>
        <v>0</v>
      </c>
      <c r="FV10" s="19"/>
      <c r="FW10" s="19"/>
      <c r="FX10" s="19"/>
      <c r="FY10" s="19"/>
      <c r="FZ10" s="51">
        <f t="shared" si="35"/>
        <v>0</v>
      </c>
      <c r="GA10" s="62"/>
      <c r="GB10" s="62"/>
      <c r="GC10" s="62"/>
      <c r="GD10" s="62"/>
      <c r="GE10" s="62"/>
    </row>
    <row r="11" spans="1:187" ht="15.75" customHeight="1" x14ac:dyDescent="0.2">
      <c r="A11" s="50" t="s">
        <v>212</v>
      </c>
      <c r="B11" s="3"/>
      <c r="C11" s="19"/>
      <c r="D11" s="19"/>
      <c r="E11" s="19"/>
      <c r="F11" s="19"/>
      <c r="G11" s="51">
        <f t="shared" si="0"/>
        <v>0</v>
      </c>
      <c r="H11" s="19"/>
      <c r="I11" s="19"/>
      <c r="J11" s="19"/>
      <c r="K11" s="19"/>
      <c r="L11" s="51">
        <f t="shared" si="1"/>
        <v>0</v>
      </c>
      <c r="M11" s="19"/>
      <c r="N11" s="19"/>
      <c r="O11" s="19"/>
      <c r="P11" s="19"/>
      <c r="Q11" s="51">
        <f t="shared" si="2"/>
        <v>0</v>
      </c>
      <c r="R11" s="19"/>
      <c r="S11" s="19"/>
      <c r="T11" s="19"/>
      <c r="U11" s="19"/>
      <c r="V11" s="51">
        <f t="shared" si="3"/>
        <v>0</v>
      </c>
      <c r="W11" s="19"/>
      <c r="X11" s="19"/>
      <c r="Y11" s="19"/>
      <c r="Z11" s="19"/>
      <c r="AA11" s="51">
        <f t="shared" si="4"/>
        <v>0</v>
      </c>
      <c r="AB11" s="19"/>
      <c r="AC11" s="19"/>
      <c r="AD11" s="19"/>
      <c r="AE11" s="19"/>
      <c r="AF11" s="51">
        <f t="shared" si="5"/>
        <v>0</v>
      </c>
      <c r="AG11" s="19"/>
      <c r="AH11" s="19"/>
      <c r="AI11" s="19"/>
      <c r="AJ11" s="19"/>
      <c r="AK11" s="51">
        <f t="shared" si="6"/>
        <v>0</v>
      </c>
      <c r="AL11" s="19"/>
      <c r="AM11" s="19"/>
      <c r="AN11" s="19"/>
      <c r="AO11" s="19"/>
      <c r="AP11" s="51">
        <f t="shared" si="7"/>
        <v>0</v>
      </c>
      <c r="AQ11" s="19"/>
      <c r="AR11" s="19"/>
      <c r="AS11" s="19"/>
      <c r="AT11" s="19"/>
      <c r="AU11" s="51">
        <f t="shared" si="8"/>
        <v>0</v>
      </c>
      <c r="AV11" s="19"/>
      <c r="AW11" s="19"/>
      <c r="AX11" s="19"/>
      <c r="AY11" s="19"/>
      <c r="AZ11" s="51">
        <f t="shared" si="9"/>
        <v>0</v>
      </c>
      <c r="BA11" s="19"/>
      <c r="BB11" s="19"/>
      <c r="BC11" s="19"/>
      <c r="BD11" s="19"/>
      <c r="BE11" s="51">
        <f t="shared" si="10"/>
        <v>0</v>
      </c>
      <c r="BF11" s="19"/>
      <c r="BG11" s="19"/>
      <c r="BH11" s="19"/>
      <c r="BI11" s="19"/>
      <c r="BJ11" s="51">
        <f t="shared" si="11"/>
        <v>0</v>
      </c>
      <c r="BK11" s="19"/>
      <c r="BL11" s="19"/>
      <c r="BM11" s="19"/>
      <c r="BN11" s="19"/>
      <c r="BO11" s="51">
        <f t="shared" si="12"/>
        <v>0</v>
      </c>
      <c r="BP11" s="19"/>
      <c r="BQ11" s="19"/>
      <c r="BR11" s="19"/>
      <c r="BS11" s="19"/>
      <c r="BT11" s="51">
        <f t="shared" si="13"/>
        <v>0</v>
      </c>
      <c r="BU11" s="19"/>
      <c r="BV11" s="19"/>
      <c r="BW11" s="19"/>
      <c r="BX11" s="19"/>
      <c r="BY11" s="51">
        <f t="shared" si="14"/>
        <v>0</v>
      </c>
      <c r="BZ11" s="19"/>
      <c r="CA11" s="19"/>
      <c r="CB11" s="19"/>
      <c r="CC11" s="19"/>
      <c r="CD11" s="51">
        <f t="shared" si="15"/>
        <v>0</v>
      </c>
      <c r="CE11" s="19"/>
      <c r="CF11" s="19"/>
      <c r="CG11" s="19"/>
      <c r="CH11" s="19"/>
      <c r="CI11" s="51">
        <f t="shared" si="16"/>
        <v>0</v>
      </c>
      <c r="CJ11" s="19"/>
      <c r="CK11" s="19"/>
      <c r="CL11" s="19"/>
      <c r="CM11" s="19"/>
      <c r="CN11" s="51">
        <f t="shared" si="17"/>
        <v>0</v>
      </c>
      <c r="CO11" s="19"/>
      <c r="CP11" s="19"/>
      <c r="CQ11" s="19"/>
      <c r="CR11" s="19"/>
      <c r="CS11" s="51">
        <f t="shared" si="18"/>
        <v>0</v>
      </c>
      <c r="CT11" s="19"/>
      <c r="CU11" s="19"/>
      <c r="CV11" s="19"/>
      <c r="CW11" s="19"/>
      <c r="CX11" s="51">
        <f t="shared" si="19"/>
        <v>0</v>
      </c>
      <c r="CY11" s="19"/>
      <c r="CZ11" s="19"/>
      <c r="DA11" s="19"/>
      <c r="DB11" s="19"/>
      <c r="DC11" s="51">
        <f t="shared" si="20"/>
        <v>0</v>
      </c>
      <c r="DD11" s="19"/>
      <c r="DE11" s="19"/>
      <c r="DF11" s="19"/>
      <c r="DG11" s="19"/>
      <c r="DH11" s="51">
        <f t="shared" si="21"/>
        <v>0</v>
      </c>
      <c r="DI11" s="19"/>
      <c r="DJ11" s="19"/>
      <c r="DK11" s="19"/>
      <c r="DL11" s="19"/>
      <c r="DM11" s="51">
        <f t="shared" si="22"/>
        <v>0</v>
      </c>
      <c r="DN11" s="19"/>
      <c r="DO11" s="19"/>
      <c r="DP11" s="19"/>
      <c r="DQ11" s="19"/>
      <c r="DR11" s="51">
        <f t="shared" si="23"/>
        <v>0</v>
      </c>
      <c r="DS11" s="19"/>
      <c r="DT11" s="19"/>
      <c r="DU11" s="19"/>
      <c r="DV11" s="19"/>
      <c r="DW11" s="51">
        <f t="shared" si="24"/>
        <v>0</v>
      </c>
      <c r="DX11" s="19"/>
      <c r="DY11" s="19"/>
      <c r="DZ11" s="19"/>
      <c r="EA11" s="19"/>
      <c r="EB11" s="51">
        <f t="shared" si="25"/>
        <v>0</v>
      </c>
      <c r="EC11" s="19"/>
      <c r="ED11" s="19"/>
      <c r="EE11" s="19"/>
      <c r="EF11" s="19"/>
      <c r="EG11" s="51">
        <f t="shared" si="26"/>
        <v>0</v>
      </c>
      <c r="EH11" s="19"/>
      <c r="EI11" s="19"/>
      <c r="EJ11" s="19"/>
      <c r="EK11" s="19"/>
      <c r="EL11" s="51">
        <f t="shared" si="27"/>
        <v>0</v>
      </c>
      <c r="EM11" s="19"/>
      <c r="EN11" s="19"/>
      <c r="EO11" s="19"/>
      <c r="EP11" s="19"/>
      <c r="EQ11" s="51">
        <f t="shared" si="28"/>
        <v>0</v>
      </c>
      <c r="ER11" s="19"/>
      <c r="ES11" s="19"/>
      <c r="ET11" s="19"/>
      <c r="EU11" s="19"/>
      <c r="EV11" s="51">
        <f t="shared" si="29"/>
        <v>0</v>
      </c>
      <c r="EW11" s="19"/>
      <c r="EX11" s="19"/>
      <c r="EY11" s="19"/>
      <c r="EZ11" s="19"/>
      <c r="FA11" s="51">
        <f t="shared" si="30"/>
        <v>0</v>
      </c>
      <c r="FB11" s="19"/>
      <c r="FC11" s="19"/>
      <c r="FD11" s="19"/>
      <c r="FE11" s="19"/>
      <c r="FF11" s="51">
        <f t="shared" si="31"/>
        <v>0</v>
      </c>
      <c r="FG11" s="19"/>
      <c r="FH11" s="19"/>
      <c r="FI11" s="19"/>
      <c r="FJ11" s="19"/>
      <c r="FK11" s="51">
        <f t="shared" si="32"/>
        <v>0</v>
      </c>
      <c r="FL11" s="19"/>
      <c r="FM11" s="19"/>
      <c r="FN11" s="19"/>
      <c r="FO11" s="19"/>
      <c r="FP11" s="51">
        <f t="shared" si="33"/>
        <v>0</v>
      </c>
      <c r="FQ11" s="19"/>
      <c r="FR11" s="19"/>
      <c r="FS11" s="19"/>
      <c r="FT11" s="19"/>
      <c r="FU11" s="51">
        <f t="shared" si="34"/>
        <v>0</v>
      </c>
      <c r="FV11" s="19"/>
      <c r="FW11" s="19"/>
      <c r="FX11" s="19"/>
      <c r="FY11" s="19"/>
      <c r="FZ11" s="51">
        <f t="shared" si="35"/>
        <v>0</v>
      </c>
      <c r="GA11" s="62"/>
      <c r="GB11" s="62"/>
      <c r="GC11" s="62"/>
      <c r="GD11" s="62"/>
      <c r="GE11" s="62"/>
    </row>
    <row r="12" spans="1:187" ht="15.75" customHeight="1" x14ac:dyDescent="0.2">
      <c r="A12" s="50" t="s">
        <v>213</v>
      </c>
      <c r="B12" s="3"/>
      <c r="C12" s="19"/>
      <c r="D12" s="19"/>
      <c r="E12" s="19"/>
      <c r="F12" s="19"/>
      <c r="G12" s="51">
        <f t="shared" si="0"/>
        <v>0</v>
      </c>
      <c r="H12" s="19"/>
      <c r="I12" s="19"/>
      <c r="J12" s="19"/>
      <c r="K12" s="19"/>
      <c r="L12" s="51">
        <f t="shared" si="1"/>
        <v>0</v>
      </c>
      <c r="M12" s="19"/>
      <c r="N12" s="19"/>
      <c r="O12" s="19"/>
      <c r="P12" s="19"/>
      <c r="Q12" s="51">
        <f t="shared" si="2"/>
        <v>0</v>
      </c>
      <c r="R12" s="19"/>
      <c r="S12" s="19"/>
      <c r="T12" s="19"/>
      <c r="U12" s="19"/>
      <c r="V12" s="51">
        <f t="shared" si="3"/>
        <v>0</v>
      </c>
      <c r="W12" s="19"/>
      <c r="X12" s="19"/>
      <c r="Y12" s="19"/>
      <c r="Z12" s="19"/>
      <c r="AA12" s="51">
        <f t="shared" si="4"/>
        <v>0</v>
      </c>
      <c r="AB12" s="19"/>
      <c r="AC12" s="19"/>
      <c r="AD12" s="19"/>
      <c r="AE12" s="19"/>
      <c r="AF12" s="51">
        <f t="shared" si="5"/>
        <v>0</v>
      </c>
      <c r="AG12" s="19"/>
      <c r="AH12" s="19"/>
      <c r="AI12" s="19"/>
      <c r="AJ12" s="19"/>
      <c r="AK12" s="51">
        <f t="shared" si="6"/>
        <v>0</v>
      </c>
      <c r="AL12" s="19"/>
      <c r="AM12" s="19"/>
      <c r="AN12" s="19"/>
      <c r="AO12" s="19"/>
      <c r="AP12" s="51">
        <f t="shared" si="7"/>
        <v>0</v>
      </c>
      <c r="AQ12" s="19"/>
      <c r="AR12" s="19"/>
      <c r="AS12" s="19"/>
      <c r="AT12" s="19"/>
      <c r="AU12" s="51">
        <f t="shared" si="8"/>
        <v>0</v>
      </c>
      <c r="AV12" s="19"/>
      <c r="AW12" s="19"/>
      <c r="AX12" s="19"/>
      <c r="AY12" s="19"/>
      <c r="AZ12" s="51">
        <f t="shared" si="9"/>
        <v>0</v>
      </c>
      <c r="BA12" s="19"/>
      <c r="BB12" s="19"/>
      <c r="BC12" s="19"/>
      <c r="BD12" s="19"/>
      <c r="BE12" s="51">
        <f t="shared" si="10"/>
        <v>0</v>
      </c>
      <c r="BF12" s="19"/>
      <c r="BG12" s="19"/>
      <c r="BH12" s="19"/>
      <c r="BI12" s="19"/>
      <c r="BJ12" s="51">
        <f t="shared" si="11"/>
        <v>0</v>
      </c>
      <c r="BK12" s="19"/>
      <c r="BL12" s="19"/>
      <c r="BM12" s="19"/>
      <c r="BN12" s="19"/>
      <c r="BO12" s="51">
        <f t="shared" si="12"/>
        <v>0</v>
      </c>
      <c r="BP12" s="19"/>
      <c r="BQ12" s="19"/>
      <c r="BR12" s="19"/>
      <c r="BS12" s="19"/>
      <c r="BT12" s="51">
        <f t="shared" si="13"/>
        <v>0</v>
      </c>
      <c r="BU12" s="19"/>
      <c r="BV12" s="19"/>
      <c r="BW12" s="19"/>
      <c r="BX12" s="19"/>
      <c r="BY12" s="51">
        <f t="shared" si="14"/>
        <v>0</v>
      </c>
      <c r="BZ12" s="19"/>
      <c r="CA12" s="19"/>
      <c r="CB12" s="19"/>
      <c r="CC12" s="19"/>
      <c r="CD12" s="51">
        <f t="shared" si="15"/>
        <v>0</v>
      </c>
      <c r="CE12" s="19"/>
      <c r="CF12" s="19"/>
      <c r="CG12" s="19"/>
      <c r="CH12" s="19"/>
      <c r="CI12" s="51">
        <f t="shared" si="16"/>
        <v>0</v>
      </c>
      <c r="CJ12" s="19"/>
      <c r="CK12" s="19"/>
      <c r="CL12" s="19"/>
      <c r="CM12" s="19"/>
      <c r="CN12" s="51">
        <f t="shared" si="17"/>
        <v>0</v>
      </c>
      <c r="CO12" s="19"/>
      <c r="CP12" s="19"/>
      <c r="CQ12" s="19"/>
      <c r="CR12" s="19"/>
      <c r="CS12" s="51">
        <f t="shared" si="18"/>
        <v>0</v>
      </c>
      <c r="CT12" s="19"/>
      <c r="CU12" s="19"/>
      <c r="CV12" s="19"/>
      <c r="CW12" s="19"/>
      <c r="CX12" s="51">
        <f t="shared" si="19"/>
        <v>0</v>
      </c>
      <c r="CY12" s="19"/>
      <c r="CZ12" s="19"/>
      <c r="DA12" s="19"/>
      <c r="DB12" s="19"/>
      <c r="DC12" s="51">
        <f t="shared" si="20"/>
        <v>0</v>
      </c>
      <c r="DD12" s="19"/>
      <c r="DE12" s="19"/>
      <c r="DF12" s="19"/>
      <c r="DG12" s="19"/>
      <c r="DH12" s="51">
        <f t="shared" si="21"/>
        <v>0</v>
      </c>
      <c r="DI12" s="19"/>
      <c r="DJ12" s="19"/>
      <c r="DK12" s="19"/>
      <c r="DL12" s="19"/>
      <c r="DM12" s="51">
        <f t="shared" si="22"/>
        <v>0</v>
      </c>
      <c r="DN12" s="19"/>
      <c r="DO12" s="19"/>
      <c r="DP12" s="19"/>
      <c r="DQ12" s="19"/>
      <c r="DR12" s="51">
        <f t="shared" si="23"/>
        <v>0</v>
      </c>
      <c r="DS12" s="19"/>
      <c r="DT12" s="19"/>
      <c r="DU12" s="19"/>
      <c r="DV12" s="19"/>
      <c r="DW12" s="51">
        <f t="shared" si="24"/>
        <v>0</v>
      </c>
      <c r="DX12" s="19"/>
      <c r="DY12" s="19"/>
      <c r="DZ12" s="19"/>
      <c r="EA12" s="19"/>
      <c r="EB12" s="51">
        <f t="shared" si="25"/>
        <v>0</v>
      </c>
      <c r="EC12" s="19"/>
      <c r="ED12" s="19"/>
      <c r="EE12" s="19"/>
      <c r="EF12" s="19"/>
      <c r="EG12" s="51">
        <f t="shared" si="26"/>
        <v>0</v>
      </c>
      <c r="EH12" s="19"/>
      <c r="EI12" s="19"/>
      <c r="EJ12" s="19"/>
      <c r="EK12" s="19"/>
      <c r="EL12" s="51">
        <f t="shared" si="27"/>
        <v>0</v>
      </c>
      <c r="EM12" s="19"/>
      <c r="EN12" s="19"/>
      <c r="EO12" s="19"/>
      <c r="EP12" s="19"/>
      <c r="EQ12" s="51">
        <f t="shared" si="28"/>
        <v>0</v>
      </c>
      <c r="ER12" s="19"/>
      <c r="ES12" s="19"/>
      <c r="ET12" s="19"/>
      <c r="EU12" s="19"/>
      <c r="EV12" s="51">
        <f t="shared" si="29"/>
        <v>0</v>
      </c>
      <c r="EW12" s="19"/>
      <c r="EX12" s="19"/>
      <c r="EY12" s="19"/>
      <c r="EZ12" s="19"/>
      <c r="FA12" s="51">
        <f t="shared" si="30"/>
        <v>0</v>
      </c>
      <c r="FB12" s="19"/>
      <c r="FC12" s="19"/>
      <c r="FD12" s="19"/>
      <c r="FE12" s="19"/>
      <c r="FF12" s="51">
        <f t="shared" si="31"/>
        <v>0</v>
      </c>
      <c r="FG12" s="19"/>
      <c r="FH12" s="19"/>
      <c r="FI12" s="19"/>
      <c r="FJ12" s="19"/>
      <c r="FK12" s="51">
        <f t="shared" si="32"/>
        <v>0</v>
      </c>
      <c r="FL12" s="19"/>
      <c r="FM12" s="19"/>
      <c r="FN12" s="19"/>
      <c r="FO12" s="19"/>
      <c r="FP12" s="51">
        <f t="shared" si="33"/>
        <v>0</v>
      </c>
      <c r="FQ12" s="19"/>
      <c r="FR12" s="19"/>
      <c r="FS12" s="19"/>
      <c r="FT12" s="19"/>
      <c r="FU12" s="51">
        <f t="shared" si="34"/>
        <v>0</v>
      </c>
      <c r="FV12" s="19"/>
      <c r="FW12" s="19"/>
      <c r="FX12" s="19"/>
      <c r="FY12" s="19"/>
      <c r="FZ12" s="51">
        <f t="shared" si="35"/>
        <v>0</v>
      </c>
      <c r="GA12" s="62"/>
      <c r="GB12" s="62"/>
      <c r="GC12" s="62"/>
      <c r="GD12" s="62"/>
      <c r="GE12" s="62"/>
    </row>
    <row r="13" spans="1:187" ht="15.75" customHeight="1" x14ac:dyDescent="0.2">
      <c r="A13" s="50" t="s">
        <v>214</v>
      </c>
      <c r="B13" s="3"/>
      <c r="C13" s="19"/>
      <c r="D13" s="19"/>
      <c r="E13" s="19"/>
      <c r="F13" s="19"/>
      <c r="G13" s="51">
        <f t="shared" si="0"/>
        <v>0</v>
      </c>
      <c r="H13" s="19"/>
      <c r="I13" s="19"/>
      <c r="J13" s="19"/>
      <c r="K13" s="19"/>
      <c r="L13" s="51">
        <f t="shared" si="1"/>
        <v>0</v>
      </c>
      <c r="M13" s="19"/>
      <c r="N13" s="19"/>
      <c r="O13" s="19"/>
      <c r="P13" s="19"/>
      <c r="Q13" s="51">
        <f t="shared" si="2"/>
        <v>0</v>
      </c>
      <c r="R13" s="19"/>
      <c r="S13" s="19"/>
      <c r="T13" s="19"/>
      <c r="U13" s="19"/>
      <c r="V13" s="51">
        <f t="shared" si="3"/>
        <v>0</v>
      </c>
      <c r="W13" s="19"/>
      <c r="X13" s="19"/>
      <c r="Y13" s="19"/>
      <c r="Z13" s="19"/>
      <c r="AA13" s="51">
        <f t="shared" si="4"/>
        <v>0</v>
      </c>
      <c r="AB13" s="19"/>
      <c r="AC13" s="19"/>
      <c r="AD13" s="19"/>
      <c r="AE13" s="19"/>
      <c r="AF13" s="51">
        <f t="shared" si="5"/>
        <v>0</v>
      </c>
      <c r="AG13" s="19"/>
      <c r="AH13" s="19"/>
      <c r="AI13" s="19"/>
      <c r="AJ13" s="19"/>
      <c r="AK13" s="51">
        <f t="shared" si="6"/>
        <v>0</v>
      </c>
      <c r="AL13" s="19"/>
      <c r="AM13" s="19"/>
      <c r="AN13" s="19"/>
      <c r="AO13" s="19"/>
      <c r="AP13" s="51">
        <f t="shared" si="7"/>
        <v>0</v>
      </c>
      <c r="AQ13" s="19"/>
      <c r="AR13" s="19"/>
      <c r="AS13" s="19"/>
      <c r="AT13" s="19"/>
      <c r="AU13" s="51">
        <f t="shared" si="8"/>
        <v>0</v>
      </c>
      <c r="AV13" s="19"/>
      <c r="AW13" s="19"/>
      <c r="AX13" s="19"/>
      <c r="AY13" s="19"/>
      <c r="AZ13" s="51">
        <f t="shared" si="9"/>
        <v>0</v>
      </c>
      <c r="BA13" s="19"/>
      <c r="BB13" s="19"/>
      <c r="BC13" s="19"/>
      <c r="BD13" s="19"/>
      <c r="BE13" s="51">
        <f t="shared" si="10"/>
        <v>0</v>
      </c>
      <c r="BF13" s="19"/>
      <c r="BG13" s="19"/>
      <c r="BH13" s="19"/>
      <c r="BI13" s="19"/>
      <c r="BJ13" s="51">
        <f t="shared" si="11"/>
        <v>0</v>
      </c>
      <c r="BK13" s="19"/>
      <c r="BL13" s="19"/>
      <c r="BM13" s="19"/>
      <c r="BN13" s="19"/>
      <c r="BO13" s="51">
        <f t="shared" si="12"/>
        <v>0</v>
      </c>
      <c r="BP13" s="19"/>
      <c r="BQ13" s="19"/>
      <c r="BR13" s="19"/>
      <c r="BS13" s="19"/>
      <c r="BT13" s="51">
        <f t="shared" si="13"/>
        <v>0</v>
      </c>
      <c r="BU13" s="19"/>
      <c r="BV13" s="19"/>
      <c r="BW13" s="19"/>
      <c r="BX13" s="19"/>
      <c r="BY13" s="51">
        <f t="shared" si="14"/>
        <v>0</v>
      </c>
      <c r="BZ13" s="19"/>
      <c r="CA13" s="19"/>
      <c r="CB13" s="19"/>
      <c r="CC13" s="19"/>
      <c r="CD13" s="51">
        <f t="shared" si="15"/>
        <v>0</v>
      </c>
      <c r="CE13" s="19"/>
      <c r="CF13" s="19"/>
      <c r="CG13" s="19"/>
      <c r="CH13" s="19"/>
      <c r="CI13" s="51">
        <f t="shared" si="16"/>
        <v>0</v>
      </c>
      <c r="CJ13" s="19"/>
      <c r="CK13" s="19"/>
      <c r="CL13" s="19"/>
      <c r="CM13" s="19"/>
      <c r="CN13" s="51">
        <f t="shared" si="17"/>
        <v>0</v>
      </c>
      <c r="CO13" s="19"/>
      <c r="CP13" s="19"/>
      <c r="CQ13" s="19"/>
      <c r="CR13" s="19"/>
      <c r="CS13" s="51">
        <f t="shared" si="18"/>
        <v>0</v>
      </c>
      <c r="CT13" s="19"/>
      <c r="CU13" s="19"/>
      <c r="CV13" s="19"/>
      <c r="CW13" s="19"/>
      <c r="CX13" s="51">
        <f t="shared" si="19"/>
        <v>0</v>
      </c>
      <c r="CY13" s="19"/>
      <c r="CZ13" s="19"/>
      <c r="DA13" s="19"/>
      <c r="DB13" s="19"/>
      <c r="DC13" s="51">
        <f t="shared" si="20"/>
        <v>0</v>
      </c>
      <c r="DD13" s="19"/>
      <c r="DE13" s="19"/>
      <c r="DF13" s="19"/>
      <c r="DG13" s="19"/>
      <c r="DH13" s="51">
        <f t="shared" si="21"/>
        <v>0</v>
      </c>
      <c r="DI13" s="19"/>
      <c r="DJ13" s="19"/>
      <c r="DK13" s="19"/>
      <c r="DL13" s="19"/>
      <c r="DM13" s="51">
        <f t="shared" si="22"/>
        <v>0</v>
      </c>
      <c r="DN13" s="19"/>
      <c r="DO13" s="19"/>
      <c r="DP13" s="19"/>
      <c r="DQ13" s="19"/>
      <c r="DR13" s="51">
        <f t="shared" si="23"/>
        <v>0</v>
      </c>
      <c r="DS13" s="19"/>
      <c r="DT13" s="19"/>
      <c r="DU13" s="19"/>
      <c r="DV13" s="19"/>
      <c r="DW13" s="51">
        <f t="shared" si="24"/>
        <v>0</v>
      </c>
      <c r="DX13" s="19"/>
      <c r="DY13" s="19"/>
      <c r="DZ13" s="19"/>
      <c r="EA13" s="19"/>
      <c r="EB13" s="51">
        <f t="shared" si="25"/>
        <v>0</v>
      </c>
      <c r="EC13" s="19"/>
      <c r="ED13" s="19"/>
      <c r="EE13" s="19"/>
      <c r="EF13" s="19"/>
      <c r="EG13" s="51">
        <f t="shared" si="26"/>
        <v>0</v>
      </c>
      <c r="EH13" s="19"/>
      <c r="EI13" s="19"/>
      <c r="EJ13" s="19"/>
      <c r="EK13" s="19"/>
      <c r="EL13" s="51">
        <f t="shared" si="27"/>
        <v>0</v>
      </c>
      <c r="EM13" s="19"/>
      <c r="EN13" s="19"/>
      <c r="EO13" s="19"/>
      <c r="EP13" s="19"/>
      <c r="EQ13" s="51">
        <f t="shared" si="28"/>
        <v>0</v>
      </c>
      <c r="ER13" s="19"/>
      <c r="ES13" s="19"/>
      <c r="ET13" s="19"/>
      <c r="EU13" s="19"/>
      <c r="EV13" s="51">
        <f t="shared" si="29"/>
        <v>0</v>
      </c>
      <c r="EW13" s="19"/>
      <c r="EX13" s="19"/>
      <c r="EY13" s="19"/>
      <c r="EZ13" s="19"/>
      <c r="FA13" s="51">
        <f t="shared" si="30"/>
        <v>0</v>
      </c>
      <c r="FB13" s="19"/>
      <c r="FC13" s="19"/>
      <c r="FD13" s="19"/>
      <c r="FE13" s="19"/>
      <c r="FF13" s="51">
        <f t="shared" si="31"/>
        <v>0</v>
      </c>
      <c r="FG13" s="19"/>
      <c r="FH13" s="19"/>
      <c r="FI13" s="19"/>
      <c r="FJ13" s="19"/>
      <c r="FK13" s="51">
        <f t="shared" si="32"/>
        <v>0</v>
      </c>
      <c r="FL13" s="19"/>
      <c r="FM13" s="19"/>
      <c r="FN13" s="19"/>
      <c r="FO13" s="19"/>
      <c r="FP13" s="51">
        <f t="shared" si="33"/>
        <v>0</v>
      </c>
      <c r="FQ13" s="19"/>
      <c r="FR13" s="19"/>
      <c r="FS13" s="19"/>
      <c r="FT13" s="19"/>
      <c r="FU13" s="51">
        <f t="shared" si="34"/>
        <v>0</v>
      </c>
      <c r="FV13" s="19"/>
      <c r="FW13" s="19"/>
      <c r="FX13" s="19"/>
      <c r="FY13" s="19"/>
      <c r="FZ13" s="51">
        <f t="shared" si="35"/>
        <v>0</v>
      </c>
      <c r="GA13" s="62"/>
      <c r="GB13" s="62"/>
      <c r="GC13" s="62"/>
      <c r="GD13" s="62"/>
      <c r="GE13" s="62"/>
    </row>
    <row r="14" spans="1:187" ht="15.75" customHeight="1" x14ac:dyDescent="0.2">
      <c r="A14" s="50" t="s">
        <v>215</v>
      </c>
      <c r="B14" s="3"/>
      <c r="C14" s="19"/>
      <c r="D14" s="19"/>
      <c r="E14" s="19"/>
      <c r="F14" s="19"/>
      <c r="G14" s="51">
        <f t="shared" si="0"/>
        <v>0</v>
      </c>
      <c r="H14" s="19"/>
      <c r="I14" s="19"/>
      <c r="J14" s="19"/>
      <c r="K14" s="19"/>
      <c r="L14" s="51">
        <f t="shared" si="1"/>
        <v>0</v>
      </c>
      <c r="M14" s="19"/>
      <c r="N14" s="19"/>
      <c r="O14" s="19"/>
      <c r="P14" s="19"/>
      <c r="Q14" s="51">
        <f t="shared" si="2"/>
        <v>0</v>
      </c>
      <c r="R14" s="19"/>
      <c r="S14" s="19"/>
      <c r="T14" s="19"/>
      <c r="U14" s="19"/>
      <c r="V14" s="51">
        <f t="shared" si="3"/>
        <v>0</v>
      </c>
      <c r="W14" s="19"/>
      <c r="X14" s="19"/>
      <c r="Y14" s="19"/>
      <c r="Z14" s="19"/>
      <c r="AA14" s="51">
        <f t="shared" si="4"/>
        <v>0</v>
      </c>
      <c r="AB14" s="19"/>
      <c r="AC14" s="19"/>
      <c r="AD14" s="19"/>
      <c r="AE14" s="19"/>
      <c r="AF14" s="51">
        <f t="shared" si="5"/>
        <v>0</v>
      </c>
      <c r="AG14" s="19"/>
      <c r="AH14" s="19"/>
      <c r="AI14" s="19"/>
      <c r="AJ14" s="19"/>
      <c r="AK14" s="51">
        <f t="shared" si="6"/>
        <v>0</v>
      </c>
      <c r="AL14" s="19"/>
      <c r="AM14" s="19"/>
      <c r="AN14" s="19"/>
      <c r="AO14" s="19"/>
      <c r="AP14" s="51">
        <f t="shared" si="7"/>
        <v>0</v>
      </c>
      <c r="AQ14" s="19"/>
      <c r="AR14" s="19"/>
      <c r="AS14" s="19"/>
      <c r="AT14" s="19"/>
      <c r="AU14" s="51">
        <f t="shared" si="8"/>
        <v>0</v>
      </c>
      <c r="AV14" s="19"/>
      <c r="AW14" s="19"/>
      <c r="AX14" s="19"/>
      <c r="AY14" s="19"/>
      <c r="AZ14" s="51">
        <f t="shared" si="9"/>
        <v>0</v>
      </c>
      <c r="BA14" s="19"/>
      <c r="BB14" s="19"/>
      <c r="BC14" s="19"/>
      <c r="BD14" s="19"/>
      <c r="BE14" s="51">
        <f t="shared" si="10"/>
        <v>0</v>
      </c>
      <c r="BF14" s="19"/>
      <c r="BG14" s="19"/>
      <c r="BH14" s="19"/>
      <c r="BI14" s="19"/>
      <c r="BJ14" s="51">
        <f t="shared" si="11"/>
        <v>0</v>
      </c>
      <c r="BK14" s="19"/>
      <c r="BL14" s="19"/>
      <c r="BM14" s="19"/>
      <c r="BN14" s="19"/>
      <c r="BO14" s="51">
        <f t="shared" si="12"/>
        <v>0</v>
      </c>
      <c r="BP14" s="19"/>
      <c r="BQ14" s="19"/>
      <c r="BR14" s="19"/>
      <c r="BS14" s="19"/>
      <c r="BT14" s="51">
        <f t="shared" si="13"/>
        <v>0</v>
      </c>
      <c r="BU14" s="19"/>
      <c r="BV14" s="19"/>
      <c r="BW14" s="19"/>
      <c r="BX14" s="19"/>
      <c r="BY14" s="51">
        <f t="shared" si="14"/>
        <v>0</v>
      </c>
      <c r="BZ14" s="19"/>
      <c r="CA14" s="19"/>
      <c r="CB14" s="19"/>
      <c r="CC14" s="19"/>
      <c r="CD14" s="51">
        <f t="shared" si="15"/>
        <v>0</v>
      </c>
      <c r="CE14" s="19"/>
      <c r="CF14" s="19"/>
      <c r="CG14" s="19"/>
      <c r="CH14" s="19"/>
      <c r="CI14" s="51">
        <f t="shared" si="16"/>
        <v>0</v>
      </c>
      <c r="CJ14" s="19"/>
      <c r="CK14" s="19"/>
      <c r="CL14" s="19"/>
      <c r="CM14" s="19"/>
      <c r="CN14" s="51">
        <f t="shared" si="17"/>
        <v>0</v>
      </c>
      <c r="CO14" s="19"/>
      <c r="CP14" s="19"/>
      <c r="CQ14" s="19"/>
      <c r="CR14" s="19"/>
      <c r="CS14" s="51">
        <f t="shared" si="18"/>
        <v>0</v>
      </c>
      <c r="CT14" s="19"/>
      <c r="CU14" s="19"/>
      <c r="CV14" s="19"/>
      <c r="CW14" s="19"/>
      <c r="CX14" s="51">
        <f t="shared" si="19"/>
        <v>0</v>
      </c>
      <c r="CY14" s="19"/>
      <c r="CZ14" s="19"/>
      <c r="DA14" s="19"/>
      <c r="DB14" s="19"/>
      <c r="DC14" s="51">
        <f t="shared" si="20"/>
        <v>0</v>
      </c>
      <c r="DD14" s="19"/>
      <c r="DE14" s="19"/>
      <c r="DF14" s="19"/>
      <c r="DG14" s="19"/>
      <c r="DH14" s="51">
        <f t="shared" si="21"/>
        <v>0</v>
      </c>
      <c r="DI14" s="19"/>
      <c r="DJ14" s="19"/>
      <c r="DK14" s="19"/>
      <c r="DL14" s="19"/>
      <c r="DM14" s="51">
        <f t="shared" si="22"/>
        <v>0</v>
      </c>
      <c r="DN14" s="19"/>
      <c r="DO14" s="19"/>
      <c r="DP14" s="19"/>
      <c r="DQ14" s="19"/>
      <c r="DR14" s="51">
        <f t="shared" si="23"/>
        <v>0</v>
      </c>
      <c r="DS14" s="19"/>
      <c r="DT14" s="19"/>
      <c r="DU14" s="19"/>
      <c r="DV14" s="19"/>
      <c r="DW14" s="51">
        <f t="shared" si="24"/>
        <v>0</v>
      </c>
      <c r="DX14" s="19"/>
      <c r="DY14" s="19"/>
      <c r="DZ14" s="19"/>
      <c r="EA14" s="19"/>
      <c r="EB14" s="51">
        <f t="shared" si="25"/>
        <v>0</v>
      </c>
      <c r="EC14" s="19"/>
      <c r="ED14" s="19"/>
      <c r="EE14" s="19"/>
      <c r="EF14" s="19"/>
      <c r="EG14" s="51">
        <f t="shared" si="26"/>
        <v>0</v>
      </c>
      <c r="EH14" s="19"/>
      <c r="EI14" s="19"/>
      <c r="EJ14" s="19"/>
      <c r="EK14" s="19"/>
      <c r="EL14" s="51">
        <f t="shared" si="27"/>
        <v>0</v>
      </c>
      <c r="EM14" s="19"/>
      <c r="EN14" s="19"/>
      <c r="EO14" s="19"/>
      <c r="EP14" s="19"/>
      <c r="EQ14" s="51">
        <f t="shared" si="28"/>
        <v>0</v>
      </c>
      <c r="ER14" s="19"/>
      <c r="ES14" s="19"/>
      <c r="ET14" s="19"/>
      <c r="EU14" s="19"/>
      <c r="EV14" s="51">
        <f t="shared" si="29"/>
        <v>0</v>
      </c>
      <c r="EW14" s="19"/>
      <c r="EX14" s="19"/>
      <c r="EY14" s="19"/>
      <c r="EZ14" s="19"/>
      <c r="FA14" s="51">
        <f t="shared" si="30"/>
        <v>0</v>
      </c>
      <c r="FB14" s="19"/>
      <c r="FC14" s="19"/>
      <c r="FD14" s="19"/>
      <c r="FE14" s="19"/>
      <c r="FF14" s="51">
        <f t="shared" si="31"/>
        <v>0</v>
      </c>
      <c r="FG14" s="19"/>
      <c r="FH14" s="19"/>
      <c r="FI14" s="19"/>
      <c r="FJ14" s="19"/>
      <c r="FK14" s="51">
        <f t="shared" si="32"/>
        <v>0</v>
      </c>
      <c r="FL14" s="19"/>
      <c r="FM14" s="19"/>
      <c r="FN14" s="19"/>
      <c r="FO14" s="19"/>
      <c r="FP14" s="51">
        <f t="shared" si="33"/>
        <v>0</v>
      </c>
      <c r="FQ14" s="19"/>
      <c r="FR14" s="19"/>
      <c r="FS14" s="19"/>
      <c r="FT14" s="19"/>
      <c r="FU14" s="51">
        <f t="shared" si="34"/>
        <v>0</v>
      </c>
      <c r="FV14" s="19"/>
      <c r="FW14" s="19"/>
      <c r="FX14" s="19"/>
      <c r="FY14" s="19"/>
      <c r="FZ14" s="51">
        <f t="shared" si="35"/>
        <v>0</v>
      </c>
      <c r="GA14" s="62"/>
      <c r="GB14" s="62"/>
      <c r="GC14" s="62"/>
      <c r="GD14" s="62"/>
      <c r="GE14" s="62"/>
    </row>
    <row r="15" spans="1:187" ht="15.75" customHeight="1" x14ac:dyDescent="0.2">
      <c r="A15" s="50" t="s">
        <v>216</v>
      </c>
      <c r="B15" s="3"/>
      <c r="C15" s="19"/>
      <c r="D15" s="19"/>
      <c r="E15" s="19"/>
      <c r="F15" s="19"/>
      <c r="G15" s="51">
        <f t="shared" si="0"/>
        <v>0</v>
      </c>
      <c r="H15" s="19"/>
      <c r="I15" s="19"/>
      <c r="J15" s="19"/>
      <c r="K15" s="19"/>
      <c r="L15" s="51">
        <f t="shared" si="1"/>
        <v>0</v>
      </c>
      <c r="M15" s="19"/>
      <c r="N15" s="19"/>
      <c r="O15" s="19"/>
      <c r="P15" s="19"/>
      <c r="Q15" s="51">
        <f t="shared" si="2"/>
        <v>0</v>
      </c>
      <c r="R15" s="19"/>
      <c r="S15" s="19"/>
      <c r="T15" s="19"/>
      <c r="U15" s="19"/>
      <c r="V15" s="51">
        <f t="shared" si="3"/>
        <v>0</v>
      </c>
      <c r="W15" s="19"/>
      <c r="X15" s="19"/>
      <c r="Y15" s="19"/>
      <c r="Z15" s="19"/>
      <c r="AA15" s="51">
        <f t="shared" si="4"/>
        <v>0</v>
      </c>
      <c r="AB15" s="19"/>
      <c r="AC15" s="19"/>
      <c r="AD15" s="19"/>
      <c r="AE15" s="19"/>
      <c r="AF15" s="51">
        <f t="shared" si="5"/>
        <v>0</v>
      </c>
      <c r="AG15" s="19"/>
      <c r="AH15" s="19"/>
      <c r="AI15" s="19"/>
      <c r="AJ15" s="19"/>
      <c r="AK15" s="51">
        <f t="shared" si="6"/>
        <v>0</v>
      </c>
      <c r="AL15" s="19"/>
      <c r="AM15" s="19"/>
      <c r="AN15" s="19"/>
      <c r="AO15" s="19"/>
      <c r="AP15" s="51">
        <f t="shared" si="7"/>
        <v>0</v>
      </c>
      <c r="AQ15" s="19"/>
      <c r="AR15" s="19"/>
      <c r="AS15" s="19"/>
      <c r="AT15" s="19"/>
      <c r="AU15" s="51">
        <f t="shared" si="8"/>
        <v>0</v>
      </c>
      <c r="AV15" s="19"/>
      <c r="AW15" s="19"/>
      <c r="AX15" s="19"/>
      <c r="AY15" s="19"/>
      <c r="AZ15" s="51">
        <f t="shared" si="9"/>
        <v>0</v>
      </c>
      <c r="BA15" s="19"/>
      <c r="BB15" s="19"/>
      <c r="BC15" s="19"/>
      <c r="BD15" s="19"/>
      <c r="BE15" s="51">
        <f t="shared" si="10"/>
        <v>0</v>
      </c>
      <c r="BF15" s="19"/>
      <c r="BG15" s="19"/>
      <c r="BH15" s="19"/>
      <c r="BI15" s="19"/>
      <c r="BJ15" s="51">
        <f t="shared" si="11"/>
        <v>0</v>
      </c>
      <c r="BK15" s="19"/>
      <c r="BL15" s="19"/>
      <c r="BM15" s="19"/>
      <c r="BN15" s="19"/>
      <c r="BO15" s="51">
        <f t="shared" si="12"/>
        <v>0</v>
      </c>
      <c r="BP15" s="19"/>
      <c r="BQ15" s="19"/>
      <c r="BR15" s="19"/>
      <c r="BS15" s="19"/>
      <c r="BT15" s="51">
        <f t="shared" si="13"/>
        <v>0</v>
      </c>
      <c r="BU15" s="19"/>
      <c r="BV15" s="19"/>
      <c r="BW15" s="19"/>
      <c r="BX15" s="19"/>
      <c r="BY15" s="51">
        <f t="shared" si="14"/>
        <v>0</v>
      </c>
      <c r="BZ15" s="19"/>
      <c r="CA15" s="19"/>
      <c r="CB15" s="19"/>
      <c r="CC15" s="19"/>
      <c r="CD15" s="51">
        <f t="shared" si="15"/>
        <v>0</v>
      </c>
      <c r="CE15" s="19"/>
      <c r="CF15" s="19"/>
      <c r="CG15" s="19"/>
      <c r="CH15" s="19"/>
      <c r="CI15" s="51">
        <f t="shared" si="16"/>
        <v>0</v>
      </c>
      <c r="CJ15" s="19"/>
      <c r="CK15" s="19"/>
      <c r="CL15" s="19"/>
      <c r="CM15" s="19"/>
      <c r="CN15" s="51">
        <f t="shared" si="17"/>
        <v>0</v>
      </c>
      <c r="CO15" s="19"/>
      <c r="CP15" s="19"/>
      <c r="CQ15" s="19"/>
      <c r="CR15" s="19"/>
      <c r="CS15" s="51">
        <f t="shared" si="18"/>
        <v>0</v>
      </c>
      <c r="CT15" s="19"/>
      <c r="CU15" s="19"/>
      <c r="CV15" s="19"/>
      <c r="CW15" s="19"/>
      <c r="CX15" s="51">
        <f t="shared" si="19"/>
        <v>0</v>
      </c>
      <c r="CY15" s="19"/>
      <c r="CZ15" s="19"/>
      <c r="DA15" s="19"/>
      <c r="DB15" s="19"/>
      <c r="DC15" s="51">
        <f t="shared" si="20"/>
        <v>0</v>
      </c>
      <c r="DD15" s="19"/>
      <c r="DE15" s="19"/>
      <c r="DF15" s="19"/>
      <c r="DG15" s="19"/>
      <c r="DH15" s="51">
        <f t="shared" si="21"/>
        <v>0</v>
      </c>
      <c r="DI15" s="19"/>
      <c r="DJ15" s="19"/>
      <c r="DK15" s="19"/>
      <c r="DL15" s="19"/>
      <c r="DM15" s="51">
        <f t="shared" si="22"/>
        <v>0</v>
      </c>
      <c r="DN15" s="19"/>
      <c r="DO15" s="19"/>
      <c r="DP15" s="19"/>
      <c r="DQ15" s="19"/>
      <c r="DR15" s="51">
        <f t="shared" si="23"/>
        <v>0</v>
      </c>
      <c r="DS15" s="19"/>
      <c r="DT15" s="19"/>
      <c r="DU15" s="19"/>
      <c r="DV15" s="19"/>
      <c r="DW15" s="51">
        <f t="shared" si="24"/>
        <v>0</v>
      </c>
      <c r="DX15" s="19"/>
      <c r="DY15" s="19"/>
      <c r="DZ15" s="19"/>
      <c r="EA15" s="19"/>
      <c r="EB15" s="51">
        <f t="shared" si="25"/>
        <v>0</v>
      </c>
      <c r="EC15" s="19"/>
      <c r="ED15" s="19"/>
      <c r="EE15" s="19"/>
      <c r="EF15" s="19"/>
      <c r="EG15" s="51">
        <f t="shared" si="26"/>
        <v>0</v>
      </c>
      <c r="EH15" s="19"/>
      <c r="EI15" s="19"/>
      <c r="EJ15" s="19"/>
      <c r="EK15" s="19"/>
      <c r="EL15" s="51">
        <f t="shared" si="27"/>
        <v>0</v>
      </c>
      <c r="EM15" s="19"/>
      <c r="EN15" s="19"/>
      <c r="EO15" s="19"/>
      <c r="EP15" s="19"/>
      <c r="EQ15" s="51">
        <f t="shared" si="28"/>
        <v>0</v>
      </c>
      <c r="ER15" s="19"/>
      <c r="ES15" s="19"/>
      <c r="ET15" s="19"/>
      <c r="EU15" s="19"/>
      <c r="EV15" s="51">
        <f t="shared" si="29"/>
        <v>0</v>
      </c>
      <c r="EW15" s="19"/>
      <c r="EX15" s="19"/>
      <c r="EY15" s="19"/>
      <c r="EZ15" s="19"/>
      <c r="FA15" s="51">
        <f t="shared" si="30"/>
        <v>0</v>
      </c>
      <c r="FB15" s="19"/>
      <c r="FC15" s="19"/>
      <c r="FD15" s="19"/>
      <c r="FE15" s="19"/>
      <c r="FF15" s="51">
        <f t="shared" si="31"/>
        <v>0</v>
      </c>
      <c r="FG15" s="19"/>
      <c r="FH15" s="19"/>
      <c r="FI15" s="19"/>
      <c r="FJ15" s="19"/>
      <c r="FK15" s="51">
        <f t="shared" si="32"/>
        <v>0</v>
      </c>
      <c r="FL15" s="19"/>
      <c r="FM15" s="19"/>
      <c r="FN15" s="19"/>
      <c r="FO15" s="19"/>
      <c r="FP15" s="51">
        <f t="shared" si="33"/>
        <v>0</v>
      </c>
      <c r="FQ15" s="19"/>
      <c r="FR15" s="19"/>
      <c r="FS15" s="19"/>
      <c r="FT15" s="19"/>
      <c r="FU15" s="51">
        <f t="shared" si="34"/>
        <v>0</v>
      </c>
      <c r="FV15" s="19"/>
      <c r="FW15" s="19"/>
      <c r="FX15" s="19"/>
      <c r="FY15" s="19"/>
      <c r="FZ15" s="51">
        <f t="shared" si="35"/>
        <v>0</v>
      </c>
      <c r="GA15" s="62"/>
      <c r="GB15" s="62"/>
      <c r="GC15" s="62"/>
      <c r="GD15" s="62"/>
      <c r="GE15" s="62"/>
    </row>
    <row r="16" spans="1:187" ht="15.75" customHeight="1" x14ac:dyDescent="0.2">
      <c r="A16" s="50" t="s">
        <v>217</v>
      </c>
      <c r="B16" s="3"/>
      <c r="C16" s="19"/>
      <c r="D16" s="19"/>
      <c r="E16" s="19"/>
      <c r="F16" s="19"/>
      <c r="G16" s="51">
        <f t="shared" si="0"/>
        <v>0</v>
      </c>
      <c r="H16" s="19"/>
      <c r="I16" s="19"/>
      <c r="J16" s="19"/>
      <c r="K16" s="19"/>
      <c r="L16" s="51">
        <f t="shared" si="1"/>
        <v>0</v>
      </c>
      <c r="M16" s="19"/>
      <c r="N16" s="19"/>
      <c r="O16" s="19"/>
      <c r="P16" s="19"/>
      <c r="Q16" s="51">
        <f t="shared" si="2"/>
        <v>0</v>
      </c>
      <c r="R16" s="19"/>
      <c r="S16" s="19"/>
      <c r="T16" s="19"/>
      <c r="U16" s="19"/>
      <c r="V16" s="51">
        <f t="shared" si="3"/>
        <v>0</v>
      </c>
      <c r="W16" s="19"/>
      <c r="X16" s="19"/>
      <c r="Y16" s="19"/>
      <c r="Z16" s="19"/>
      <c r="AA16" s="51">
        <f t="shared" si="4"/>
        <v>0</v>
      </c>
      <c r="AB16" s="19"/>
      <c r="AC16" s="19"/>
      <c r="AD16" s="19"/>
      <c r="AE16" s="19"/>
      <c r="AF16" s="51">
        <f t="shared" si="5"/>
        <v>0</v>
      </c>
      <c r="AG16" s="19"/>
      <c r="AH16" s="19"/>
      <c r="AI16" s="19"/>
      <c r="AJ16" s="19"/>
      <c r="AK16" s="51">
        <f t="shared" si="6"/>
        <v>0</v>
      </c>
      <c r="AL16" s="19"/>
      <c r="AM16" s="19"/>
      <c r="AN16" s="19"/>
      <c r="AO16" s="19"/>
      <c r="AP16" s="51">
        <f t="shared" si="7"/>
        <v>0</v>
      </c>
      <c r="AQ16" s="19"/>
      <c r="AR16" s="19"/>
      <c r="AS16" s="19"/>
      <c r="AT16" s="19"/>
      <c r="AU16" s="51">
        <f t="shared" si="8"/>
        <v>0</v>
      </c>
      <c r="AV16" s="19"/>
      <c r="AW16" s="19"/>
      <c r="AX16" s="19"/>
      <c r="AY16" s="19"/>
      <c r="AZ16" s="51">
        <f t="shared" si="9"/>
        <v>0</v>
      </c>
      <c r="BA16" s="19"/>
      <c r="BB16" s="19"/>
      <c r="BC16" s="19"/>
      <c r="BD16" s="19"/>
      <c r="BE16" s="51">
        <f t="shared" si="10"/>
        <v>0</v>
      </c>
      <c r="BF16" s="19"/>
      <c r="BG16" s="19"/>
      <c r="BH16" s="19"/>
      <c r="BI16" s="19"/>
      <c r="BJ16" s="51">
        <f t="shared" si="11"/>
        <v>0</v>
      </c>
      <c r="BK16" s="19"/>
      <c r="BL16" s="19"/>
      <c r="BM16" s="19"/>
      <c r="BN16" s="19"/>
      <c r="BO16" s="51">
        <f t="shared" si="12"/>
        <v>0</v>
      </c>
      <c r="BP16" s="19"/>
      <c r="BQ16" s="19"/>
      <c r="BR16" s="19"/>
      <c r="BS16" s="19"/>
      <c r="BT16" s="51">
        <f t="shared" si="13"/>
        <v>0</v>
      </c>
      <c r="BU16" s="19"/>
      <c r="BV16" s="19"/>
      <c r="BW16" s="19"/>
      <c r="BX16" s="19"/>
      <c r="BY16" s="51">
        <f t="shared" si="14"/>
        <v>0</v>
      </c>
      <c r="BZ16" s="19"/>
      <c r="CA16" s="19"/>
      <c r="CB16" s="19"/>
      <c r="CC16" s="19"/>
      <c r="CD16" s="51">
        <f t="shared" si="15"/>
        <v>0</v>
      </c>
      <c r="CE16" s="19"/>
      <c r="CF16" s="19"/>
      <c r="CG16" s="19"/>
      <c r="CH16" s="19"/>
      <c r="CI16" s="51">
        <f t="shared" si="16"/>
        <v>0</v>
      </c>
      <c r="CJ16" s="19"/>
      <c r="CK16" s="19"/>
      <c r="CL16" s="19"/>
      <c r="CM16" s="19"/>
      <c r="CN16" s="51">
        <f t="shared" si="17"/>
        <v>0</v>
      </c>
      <c r="CO16" s="19"/>
      <c r="CP16" s="19"/>
      <c r="CQ16" s="19"/>
      <c r="CR16" s="19"/>
      <c r="CS16" s="51">
        <f t="shared" si="18"/>
        <v>0</v>
      </c>
      <c r="CT16" s="19"/>
      <c r="CU16" s="19"/>
      <c r="CV16" s="19"/>
      <c r="CW16" s="19"/>
      <c r="CX16" s="51">
        <f t="shared" si="19"/>
        <v>0</v>
      </c>
      <c r="CY16" s="19"/>
      <c r="CZ16" s="19"/>
      <c r="DA16" s="19"/>
      <c r="DB16" s="19"/>
      <c r="DC16" s="51">
        <f t="shared" si="20"/>
        <v>0</v>
      </c>
      <c r="DD16" s="19"/>
      <c r="DE16" s="19"/>
      <c r="DF16" s="19"/>
      <c r="DG16" s="19"/>
      <c r="DH16" s="51">
        <f t="shared" si="21"/>
        <v>0</v>
      </c>
      <c r="DI16" s="19"/>
      <c r="DJ16" s="19"/>
      <c r="DK16" s="19"/>
      <c r="DL16" s="19"/>
      <c r="DM16" s="51">
        <f t="shared" si="22"/>
        <v>0</v>
      </c>
      <c r="DN16" s="19"/>
      <c r="DO16" s="19"/>
      <c r="DP16" s="19"/>
      <c r="DQ16" s="19"/>
      <c r="DR16" s="51">
        <f t="shared" si="23"/>
        <v>0</v>
      </c>
      <c r="DS16" s="19"/>
      <c r="DT16" s="19"/>
      <c r="DU16" s="19"/>
      <c r="DV16" s="19"/>
      <c r="DW16" s="51">
        <f t="shared" si="24"/>
        <v>0</v>
      </c>
      <c r="DX16" s="19"/>
      <c r="DY16" s="19"/>
      <c r="DZ16" s="19"/>
      <c r="EA16" s="19"/>
      <c r="EB16" s="51">
        <f t="shared" si="25"/>
        <v>0</v>
      </c>
      <c r="EC16" s="19"/>
      <c r="ED16" s="19"/>
      <c r="EE16" s="19"/>
      <c r="EF16" s="19"/>
      <c r="EG16" s="51">
        <f t="shared" si="26"/>
        <v>0</v>
      </c>
      <c r="EH16" s="19"/>
      <c r="EI16" s="19"/>
      <c r="EJ16" s="19"/>
      <c r="EK16" s="19"/>
      <c r="EL16" s="51">
        <f t="shared" si="27"/>
        <v>0</v>
      </c>
      <c r="EM16" s="19"/>
      <c r="EN16" s="19"/>
      <c r="EO16" s="19"/>
      <c r="EP16" s="19"/>
      <c r="EQ16" s="51">
        <f t="shared" si="28"/>
        <v>0</v>
      </c>
      <c r="ER16" s="19"/>
      <c r="ES16" s="19"/>
      <c r="ET16" s="19"/>
      <c r="EU16" s="19"/>
      <c r="EV16" s="51">
        <f t="shared" si="29"/>
        <v>0</v>
      </c>
      <c r="EW16" s="19"/>
      <c r="EX16" s="19"/>
      <c r="EY16" s="19"/>
      <c r="EZ16" s="19"/>
      <c r="FA16" s="51">
        <f t="shared" si="30"/>
        <v>0</v>
      </c>
      <c r="FB16" s="19"/>
      <c r="FC16" s="19"/>
      <c r="FD16" s="19"/>
      <c r="FE16" s="19"/>
      <c r="FF16" s="51">
        <f t="shared" si="31"/>
        <v>0</v>
      </c>
      <c r="FG16" s="19"/>
      <c r="FH16" s="19"/>
      <c r="FI16" s="19"/>
      <c r="FJ16" s="19"/>
      <c r="FK16" s="51">
        <f t="shared" si="32"/>
        <v>0</v>
      </c>
      <c r="FL16" s="19"/>
      <c r="FM16" s="19"/>
      <c r="FN16" s="19"/>
      <c r="FO16" s="19"/>
      <c r="FP16" s="51">
        <f t="shared" si="33"/>
        <v>0</v>
      </c>
      <c r="FQ16" s="19"/>
      <c r="FR16" s="19"/>
      <c r="FS16" s="19"/>
      <c r="FT16" s="19"/>
      <c r="FU16" s="51">
        <f t="shared" si="34"/>
        <v>0</v>
      </c>
      <c r="FV16" s="19"/>
      <c r="FW16" s="19"/>
      <c r="FX16" s="19"/>
      <c r="FY16" s="19"/>
      <c r="FZ16" s="51">
        <f t="shared" si="35"/>
        <v>0</v>
      </c>
      <c r="GA16" s="62"/>
      <c r="GB16" s="62"/>
      <c r="GC16" s="62"/>
      <c r="GD16" s="62"/>
      <c r="GE16" s="62"/>
    </row>
    <row r="17" spans="1:187" ht="15.75" customHeight="1" x14ac:dyDescent="0.2">
      <c r="A17" s="50" t="s">
        <v>218</v>
      </c>
      <c r="B17" s="3"/>
      <c r="C17" s="19"/>
      <c r="D17" s="19"/>
      <c r="E17" s="19"/>
      <c r="F17" s="19"/>
      <c r="G17" s="51">
        <f t="shared" si="0"/>
        <v>0</v>
      </c>
      <c r="H17" s="19"/>
      <c r="I17" s="19"/>
      <c r="J17" s="19"/>
      <c r="K17" s="19"/>
      <c r="L17" s="51">
        <f t="shared" si="1"/>
        <v>0</v>
      </c>
      <c r="M17" s="19"/>
      <c r="N17" s="19"/>
      <c r="O17" s="19"/>
      <c r="P17" s="19"/>
      <c r="Q17" s="51">
        <f t="shared" si="2"/>
        <v>0</v>
      </c>
      <c r="R17" s="19"/>
      <c r="S17" s="19"/>
      <c r="T17" s="19"/>
      <c r="U17" s="19"/>
      <c r="V17" s="51">
        <f t="shared" si="3"/>
        <v>0</v>
      </c>
      <c r="W17" s="19"/>
      <c r="X17" s="19"/>
      <c r="Y17" s="19"/>
      <c r="Z17" s="19"/>
      <c r="AA17" s="51">
        <f t="shared" si="4"/>
        <v>0</v>
      </c>
      <c r="AB17" s="19"/>
      <c r="AC17" s="19"/>
      <c r="AD17" s="19"/>
      <c r="AE17" s="19"/>
      <c r="AF17" s="51">
        <f t="shared" si="5"/>
        <v>0</v>
      </c>
      <c r="AG17" s="19"/>
      <c r="AH17" s="19"/>
      <c r="AI17" s="19"/>
      <c r="AJ17" s="19"/>
      <c r="AK17" s="51">
        <f t="shared" si="6"/>
        <v>0</v>
      </c>
      <c r="AL17" s="19"/>
      <c r="AM17" s="19"/>
      <c r="AN17" s="19"/>
      <c r="AO17" s="19"/>
      <c r="AP17" s="51">
        <f t="shared" si="7"/>
        <v>0</v>
      </c>
      <c r="AQ17" s="19"/>
      <c r="AR17" s="19"/>
      <c r="AS17" s="19"/>
      <c r="AT17" s="19"/>
      <c r="AU17" s="51">
        <f t="shared" si="8"/>
        <v>0</v>
      </c>
      <c r="AV17" s="19"/>
      <c r="AW17" s="19"/>
      <c r="AX17" s="19"/>
      <c r="AY17" s="19"/>
      <c r="AZ17" s="51">
        <f t="shared" si="9"/>
        <v>0</v>
      </c>
      <c r="BA17" s="19"/>
      <c r="BB17" s="19"/>
      <c r="BC17" s="19"/>
      <c r="BD17" s="19"/>
      <c r="BE17" s="51">
        <f t="shared" si="10"/>
        <v>0</v>
      </c>
      <c r="BF17" s="19"/>
      <c r="BG17" s="19"/>
      <c r="BH17" s="19"/>
      <c r="BI17" s="19"/>
      <c r="BJ17" s="51">
        <f t="shared" si="11"/>
        <v>0</v>
      </c>
      <c r="BK17" s="19"/>
      <c r="BL17" s="19"/>
      <c r="BM17" s="19"/>
      <c r="BN17" s="19"/>
      <c r="BO17" s="51">
        <f t="shared" si="12"/>
        <v>0</v>
      </c>
      <c r="BP17" s="19"/>
      <c r="BQ17" s="19"/>
      <c r="BR17" s="19"/>
      <c r="BS17" s="19"/>
      <c r="BT17" s="51">
        <f t="shared" si="13"/>
        <v>0</v>
      </c>
      <c r="BU17" s="19"/>
      <c r="BV17" s="19"/>
      <c r="BW17" s="19"/>
      <c r="BX17" s="19"/>
      <c r="BY17" s="51">
        <f t="shared" si="14"/>
        <v>0</v>
      </c>
      <c r="BZ17" s="19"/>
      <c r="CA17" s="19"/>
      <c r="CB17" s="19"/>
      <c r="CC17" s="19"/>
      <c r="CD17" s="51">
        <f t="shared" si="15"/>
        <v>0</v>
      </c>
      <c r="CE17" s="19"/>
      <c r="CF17" s="19"/>
      <c r="CG17" s="19"/>
      <c r="CH17" s="19"/>
      <c r="CI17" s="51">
        <f t="shared" si="16"/>
        <v>0</v>
      </c>
      <c r="CJ17" s="19"/>
      <c r="CK17" s="19"/>
      <c r="CL17" s="19"/>
      <c r="CM17" s="19"/>
      <c r="CN17" s="51">
        <f t="shared" si="17"/>
        <v>0</v>
      </c>
      <c r="CO17" s="19"/>
      <c r="CP17" s="19"/>
      <c r="CQ17" s="19"/>
      <c r="CR17" s="19"/>
      <c r="CS17" s="51">
        <f t="shared" si="18"/>
        <v>0</v>
      </c>
      <c r="CT17" s="19"/>
      <c r="CU17" s="19"/>
      <c r="CV17" s="19"/>
      <c r="CW17" s="19"/>
      <c r="CX17" s="51">
        <f t="shared" si="19"/>
        <v>0</v>
      </c>
      <c r="CY17" s="19"/>
      <c r="CZ17" s="19"/>
      <c r="DA17" s="19"/>
      <c r="DB17" s="19"/>
      <c r="DC17" s="51">
        <f t="shared" si="20"/>
        <v>0</v>
      </c>
      <c r="DD17" s="19"/>
      <c r="DE17" s="19"/>
      <c r="DF17" s="19"/>
      <c r="DG17" s="19"/>
      <c r="DH17" s="51">
        <f t="shared" si="21"/>
        <v>0</v>
      </c>
      <c r="DI17" s="19"/>
      <c r="DJ17" s="19"/>
      <c r="DK17" s="19"/>
      <c r="DL17" s="19"/>
      <c r="DM17" s="51">
        <f t="shared" si="22"/>
        <v>0</v>
      </c>
      <c r="DN17" s="19"/>
      <c r="DO17" s="19"/>
      <c r="DP17" s="19"/>
      <c r="DQ17" s="19"/>
      <c r="DR17" s="51">
        <f t="shared" si="23"/>
        <v>0</v>
      </c>
      <c r="DS17" s="19"/>
      <c r="DT17" s="19"/>
      <c r="DU17" s="19"/>
      <c r="DV17" s="19"/>
      <c r="DW17" s="51">
        <f t="shared" si="24"/>
        <v>0</v>
      </c>
      <c r="DX17" s="19"/>
      <c r="DY17" s="19"/>
      <c r="DZ17" s="19"/>
      <c r="EA17" s="19"/>
      <c r="EB17" s="51">
        <f t="shared" si="25"/>
        <v>0</v>
      </c>
      <c r="EC17" s="19"/>
      <c r="ED17" s="19"/>
      <c r="EE17" s="19"/>
      <c r="EF17" s="19"/>
      <c r="EG17" s="51">
        <f t="shared" si="26"/>
        <v>0</v>
      </c>
      <c r="EH17" s="19"/>
      <c r="EI17" s="19"/>
      <c r="EJ17" s="19"/>
      <c r="EK17" s="19"/>
      <c r="EL17" s="51">
        <f t="shared" si="27"/>
        <v>0</v>
      </c>
      <c r="EM17" s="19"/>
      <c r="EN17" s="19"/>
      <c r="EO17" s="19"/>
      <c r="EP17" s="19"/>
      <c r="EQ17" s="51">
        <f t="shared" si="28"/>
        <v>0</v>
      </c>
      <c r="ER17" s="19"/>
      <c r="ES17" s="19"/>
      <c r="ET17" s="19"/>
      <c r="EU17" s="19"/>
      <c r="EV17" s="51">
        <f t="shared" si="29"/>
        <v>0</v>
      </c>
      <c r="EW17" s="19"/>
      <c r="EX17" s="19"/>
      <c r="EY17" s="19"/>
      <c r="EZ17" s="19"/>
      <c r="FA17" s="51">
        <f t="shared" si="30"/>
        <v>0</v>
      </c>
      <c r="FB17" s="19"/>
      <c r="FC17" s="19"/>
      <c r="FD17" s="19"/>
      <c r="FE17" s="19"/>
      <c r="FF17" s="51">
        <f t="shared" si="31"/>
        <v>0</v>
      </c>
      <c r="FG17" s="19"/>
      <c r="FH17" s="19"/>
      <c r="FI17" s="19"/>
      <c r="FJ17" s="19"/>
      <c r="FK17" s="51">
        <f t="shared" si="32"/>
        <v>0</v>
      </c>
      <c r="FL17" s="19"/>
      <c r="FM17" s="19"/>
      <c r="FN17" s="19"/>
      <c r="FO17" s="19"/>
      <c r="FP17" s="51">
        <f t="shared" si="33"/>
        <v>0</v>
      </c>
      <c r="FQ17" s="19"/>
      <c r="FR17" s="19"/>
      <c r="FS17" s="19"/>
      <c r="FT17" s="19"/>
      <c r="FU17" s="51">
        <f t="shared" si="34"/>
        <v>0</v>
      </c>
      <c r="FV17" s="19"/>
      <c r="FW17" s="19"/>
      <c r="FX17" s="19"/>
      <c r="FY17" s="19"/>
      <c r="FZ17" s="51">
        <f t="shared" si="35"/>
        <v>0</v>
      </c>
      <c r="GA17" s="62"/>
      <c r="GB17" s="62"/>
      <c r="GC17" s="62"/>
      <c r="GD17" s="62"/>
      <c r="GE17" s="62"/>
    </row>
    <row r="18" spans="1:187" ht="15.75" customHeight="1" x14ac:dyDescent="0.2">
      <c r="A18" s="50" t="s">
        <v>219</v>
      </c>
      <c r="B18" s="3"/>
      <c r="C18" s="19"/>
      <c r="D18" s="19"/>
      <c r="E18" s="19"/>
      <c r="F18" s="19"/>
      <c r="G18" s="51">
        <f t="shared" si="0"/>
        <v>0</v>
      </c>
      <c r="H18" s="19"/>
      <c r="I18" s="19"/>
      <c r="J18" s="19"/>
      <c r="K18" s="19"/>
      <c r="L18" s="51">
        <f t="shared" si="1"/>
        <v>0</v>
      </c>
      <c r="M18" s="19"/>
      <c r="N18" s="19"/>
      <c r="O18" s="19"/>
      <c r="P18" s="19"/>
      <c r="Q18" s="51">
        <f t="shared" si="2"/>
        <v>0</v>
      </c>
      <c r="R18" s="19"/>
      <c r="S18" s="19"/>
      <c r="T18" s="19"/>
      <c r="U18" s="19"/>
      <c r="V18" s="51">
        <f t="shared" si="3"/>
        <v>0</v>
      </c>
      <c r="W18" s="19"/>
      <c r="X18" s="19"/>
      <c r="Y18" s="19"/>
      <c r="Z18" s="19"/>
      <c r="AA18" s="51">
        <f t="shared" si="4"/>
        <v>0</v>
      </c>
      <c r="AB18" s="19"/>
      <c r="AC18" s="19"/>
      <c r="AD18" s="19"/>
      <c r="AE18" s="19"/>
      <c r="AF18" s="51">
        <f t="shared" si="5"/>
        <v>0</v>
      </c>
      <c r="AG18" s="19"/>
      <c r="AH18" s="19"/>
      <c r="AI18" s="19"/>
      <c r="AJ18" s="19"/>
      <c r="AK18" s="51">
        <f t="shared" si="6"/>
        <v>0</v>
      </c>
      <c r="AL18" s="19"/>
      <c r="AM18" s="19"/>
      <c r="AN18" s="19"/>
      <c r="AO18" s="19"/>
      <c r="AP18" s="51">
        <f t="shared" si="7"/>
        <v>0</v>
      </c>
      <c r="AQ18" s="19"/>
      <c r="AR18" s="19"/>
      <c r="AS18" s="19"/>
      <c r="AT18" s="19"/>
      <c r="AU18" s="51">
        <f t="shared" si="8"/>
        <v>0</v>
      </c>
      <c r="AV18" s="19"/>
      <c r="AW18" s="19"/>
      <c r="AX18" s="19"/>
      <c r="AY18" s="19"/>
      <c r="AZ18" s="51">
        <f t="shared" si="9"/>
        <v>0</v>
      </c>
      <c r="BA18" s="19"/>
      <c r="BB18" s="19"/>
      <c r="BC18" s="19"/>
      <c r="BD18" s="19"/>
      <c r="BE18" s="51">
        <f t="shared" si="10"/>
        <v>0</v>
      </c>
      <c r="BF18" s="19"/>
      <c r="BG18" s="19"/>
      <c r="BH18" s="19"/>
      <c r="BI18" s="19"/>
      <c r="BJ18" s="51">
        <f t="shared" si="11"/>
        <v>0</v>
      </c>
      <c r="BK18" s="19"/>
      <c r="BL18" s="19"/>
      <c r="BM18" s="19"/>
      <c r="BN18" s="19"/>
      <c r="BO18" s="51">
        <f t="shared" si="12"/>
        <v>0</v>
      </c>
      <c r="BP18" s="19"/>
      <c r="BQ18" s="19"/>
      <c r="BR18" s="19"/>
      <c r="BS18" s="19"/>
      <c r="BT18" s="51">
        <f t="shared" si="13"/>
        <v>0</v>
      </c>
      <c r="BU18" s="19"/>
      <c r="BV18" s="19"/>
      <c r="BW18" s="19"/>
      <c r="BX18" s="19"/>
      <c r="BY18" s="51">
        <f t="shared" si="14"/>
        <v>0</v>
      </c>
      <c r="BZ18" s="19"/>
      <c r="CA18" s="19"/>
      <c r="CB18" s="19"/>
      <c r="CC18" s="19"/>
      <c r="CD18" s="51">
        <f t="shared" si="15"/>
        <v>0</v>
      </c>
      <c r="CE18" s="19"/>
      <c r="CF18" s="19"/>
      <c r="CG18" s="19"/>
      <c r="CH18" s="19"/>
      <c r="CI18" s="51">
        <f t="shared" si="16"/>
        <v>0</v>
      </c>
      <c r="CJ18" s="19"/>
      <c r="CK18" s="19"/>
      <c r="CL18" s="19"/>
      <c r="CM18" s="19"/>
      <c r="CN18" s="51">
        <f t="shared" si="17"/>
        <v>0</v>
      </c>
      <c r="CO18" s="19"/>
      <c r="CP18" s="19"/>
      <c r="CQ18" s="19"/>
      <c r="CR18" s="19"/>
      <c r="CS18" s="51">
        <f t="shared" si="18"/>
        <v>0</v>
      </c>
      <c r="CT18" s="19"/>
      <c r="CU18" s="19"/>
      <c r="CV18" s="19"/>
      <c r="CW18" s="19"/>
      <c r="CX18" s="51">
        <f t="shared" si="19"/>
        <v>0</v>
      </c>
      <c r="CY18" s="19"/>
      <c r="CZ18" s="19"/>
      <c r="DA18" s="19"/>
      <c r="DB18" s="19"/>
      <c r="DC18" s="51">
        <f t="shared" si="20"/>
        <v>0</v>
      </c>
      <c r="DD18" s="19"/>
      <c r="DE18" s="19"/>
      <c r="DF18" s="19"/>
      <c r="DG18" s="19"/>
      <c r="DH18" s="51">
        <f t="shared" si="21"/>
        <v>0</v>
      </c>
      <c r="DI18" s="19"/>
      <c r="DJ18" s="19"/>
      <c r="DK18" s="19"/>
      <c r="DL18" s="19"/>
      <c r="DM18" s="51">
        <f t="shared" si="22"/>
        <v>0</v>
      </c>
      <c r="DN18" s="19"/>
      <c r="DO18" s="19"/>
      <c r="DP18" s="19"/>
      <c r="DQ18" s="19"/>
      <c r="DR18" s="51">
        <f t="shared" si="23"/>
        <v>0</v>
      </c>
      <c r="DS18" s="19"/>
      <c r="DT18" s="19"/>
      <c r="DU18" s="19"/>
      <c r="DV18" s="19"/>
      <c r="DW18" s="51">
        <f t="shared" si="24"/>
        <v>0</v>
      </c>
      <c r="DX18" s="19"/>
      <c r="DY18" s="19"/>
      <c r="DZ18" s="19"/>
      <c r="EA18" s="19"/>
      <c r="EB18" s="51">
        <f t="shared" si="25"/>
        <v>0</v>
      </c>
      <c r="EC18" s="19"/>
      <c r="ED18" s="19"/>
      <c r="EE18" s="19"/>
      <c r="EF18" s="19"/>
      <c r="EG18" s="51">
        <f t="shared" si="26"/>
        <v>0</v>
      </c>
      <c r="EH18" s="19"/>
      <c r="EI18" s="19"/>
      <c r="EJ18" s="19"/>
      <c r="EK18" s="19"/>
      <c r="EL18" s="51">
        <f t="shared" si="27"/>
        <v>0</v>
      </c>
      <c r="EM18" s="19"/>
      <c r="EN18" s="19"/>
      <c r="EO18" s="19"/>
      <c r="EP18" s="19"/>
      <c r="EQ18" s="51">
        <f t="shared" si="28"/>
        <v>0</v>
      </c>
      <c r="ER18" s="19"/>
      <c r="ES18" s="19"/>
      <c r="ET18" s="19"/>
      <c r="EU18" s="19"/>
      <c r="EV18" s="51">
        <f t="shared" si="29"/>
        <v>0</v>
      </c>
      <c r="EW18" s="19"/>
      <c r="EX18" s="19"/>
      <c r="EY18" s="19"/>
      <c r="EZ18" s="19"/>
      <c r="FA18" s="51">
        <f t="shared" si="30"/>
        <v>0</v>
      </c>
      <c r="FB18" s="19"/>
      <c r="FC18" s="19"/>
      <c r="FD18" s="19"/>
      <c r="FE18" s="19"/>
      <c r="FF18" s="51">
        <f t="shared" si="31"/>
        <v>0</v>
      </c>
      <c r="FG18" s="19"/>
      <c r="FH18" s="19"/>
      <c r="FI18" s="19"/>
      <c r="FJ18" s="19"/>
      <c r="FK18" s="51">
        <f t="shared" si="32"/>
        <v>0</v>
      </c>
      <c r="FL18" s="19"/>
      <c r="FM18" s="19"/>
      <c r="FN18" s="19"/>
      <c r="FO18" s="19"/>
      <c r="FP18" s="51">
        <f t="shared" si="33"/>
        <v>0</v>
      </c>
      <c r="FQ18" s="19"/>
      <c r="FR18" s="19"/>
      <c r="FS18" s="19"/>
      <c r="FT18" s="19"/>
      <c r="FU18" s="51">
        <f t="shared" si="34"/>
        <v>0</v>
      </c>
      <c r="FV18" s="19"/>
      <c r="FW18" s="19"/>
      <c r="FX18" s="19"/>
      <c r="FY18" s="19"/>
      <c r="FZ18" s="51">
        <f t="shared" si="35"/>
        <v>0</v>
      </c>
      <c r="GA18" s="62"/>
      <c r="GB18" s="62"/>
      <c r="GC18" s="62"/>
      <c r="GD18" s="62"/>
      <c r="GE18" s="62"/>
    </row>
    <row r="19" spans="1:187" ht="15.75" customHeight="1" thickBot="1" x14ac:dyDescent="0.25">
      <c r="A19" s="52" t="s">
        <v>111</v>
      </c>
      <c r="B19" s="3"/>
      <c r="C19" s="53"/>
      <c r="D19" s="53"/>
      <c r="E19" s="53"/>
      <c r="F19" s="53"/>
      <c r="G19" s="53">
        <f>SUM(G7:G18)</f>
        <v>0</v>
      </c>
      <c r="H19" s="53"/>
      <c r="I19" s="53"/>
      <c r="J19" s="53"/>
      <c r="K19" s="53"/>
      <c r="L19" s="53">
        <f>SUM(L7:L18)</f>
        <v>0</v>
      </c>
      <c r="M19" s="53"/>
      <c r="N19" s="53"/>
      <c r="O19" s="53"/>
      <c r="P19" s="53"/>
      <c r="Q19" s="53">
        <f>SUM(Q7:Q18)</f>
        <v>0</v>
      </c>
      <c r="R19" s="53"/>
      <c r="S19" s="53"/>
      <c r="T19" s="53"/>
      <c r="U19" s="53"/>
      <c r="V19" s="53">
        <f>SUM(V7:V18)</f>
        <v>0</v>
      </c>
      <c r="W19" s="53"/>
      <c r="X19" s="53"/>
      <c r="Y19" s="53"/>
      <c r="Z19" s="53"/>
      <c r="AA19" s="53">
        <f>SUM(AA7:AA18)</f>
        <v>0</v>
      </c>
      <c r="AB19" s="53"/>
      <c r="AC19" s="53"/>
      <c r="AD19" s="53"/>
      <c r="AE19" s="53"/>
      <c r="AF19" s="53">
        <f>SUM(AF7:AF18)</f>
        <v>0</v>
      </c>
      <c r="AG19" s="53"/>
      <c r="AH19" s="53"/>
      <c r="AI19" s="53"/>
      <c r="AJ19" s="53"/>
      <c r="AK19" s="53">
        <f>SUM(AK7:AK18)</f>
        <v>0</v>
      </c>
      <c r="AL19" s="53"/>
      <c r="AM19" s="53"/>
      <c r="AN19" s="53"/>
      <c r="AO19" s="53"/>
      <c r="AP19" s="53">
        <f>SUM(AP7:AP18)</f>
        <v>0</v>
      </c>
      <c r="AQ19" s="53"/>
      <c r="AR19" s="53"/>
      <c r="AS19" s="53"/>
      <c r="AT19" s="53"/>
      <c r="AU19" s="53">
        <f>SUM(AU7:AU18)</f>
        <v>0</v>
      </c>
      <c r="AV19" s="53"/>
      <c r="AW19" s="53"/>
      <c r="AX19" s="53"/>
      <c r="AY19" s="53"/>
      <c r="AZ19" s="53">
        <f>SUM(AZ7:AZ18)</f>
        <v>0</v>
      </c>
      <c r="BA19" s="53"/>
      <c r="BB19" s="53"/>
      <c r="BC19" s="53"/>
      <c r="BD19" s="53"/>
      <c r="BE19" s="53">
        <f>SUM(BE7:BE18)</f>
        <v>0</v>
      </c>
      <c r="BF19" s="53"/>
      <c r="BG19" s="53"/>
      <c r="BH19" s="53"/>
      <c r="BI19" s="53"/>
      <c r="BJ19" s="53">
        <f>SUM(BJ7:BJ18)</f>
        <v>0</v>
      </c>
      <c r="BK19" s="53"/>
      <c r="BL19" s="53"/>
      <c r="BM19" s="53"/>
      <c r="BN19" s="53"/>
      <c r="BO19" s="53">
        <f>SUM(BO7:BO18)</f>
        <v>0</v>
      </c>
      <c r="BP19" s="53"/>
      <c r="BQ19" s="53"/>
      <c r="BR19" s="53"/>
      <c r="BS19" s="53"/>
      <c r="BT19" s="53">
        <f>SUM(BT7:BT18)</f>
        <v>0</v>
      </c>
      <c r="BU19" s="53"/>
      <c r="BV19" s="53"/>
      <c r="BW19" s="53"/>
      <c r="BX19" s="53"/>
      <c r="BY19" s="53">
        <f>SUM(BY7:BY18)</f>
        <v>0</v>
      </c>
      <c r="BZ19" s="53"/>
      <c r="CA19" s="53"/>
      <c r="CB19" s="53"/>
      <c r="CC19" s="53"/>
      <c r="CD19" s="53">
        <f>SUM(CD7:CD18)</f>
        <v>0</v>
      </c>
      <c r="CE19" s="53"/>
      <c r="CF19" s="53"/>
      <c r="CG19" s="53"/>
      <c r="CH19" s="53"/>
      <c r="CI19" s="53">
        <f>SUM(CI7:CI18)</f>
        <v>0</v>
      </c>
      <c r="CJ19" s="53"/>
      <c r="CK19" s="53"/>
      <c r="CL19" s="53"/>
      <c r="CM19" s="53"/>
      <c r="CN19" s="53">
        <f>SUM(CN7:CN18)</f>
        <v>0</v>
      </c>
      <c r="CO19" s="53"/>
      <c r="CP19" s="53"/>
      <c r="CQ19" s="53"/>
      <c r="CR19" s="53"/>
      <c r="CS19" s="53">
        <f>SUM(CS7:CS18)</f>
        <v>0</v>
      </c>
      <c r="CT19" s="53"/>
      <c r="CU19" s="53"/>
      <c r="CV19" s="53"/>
      <c r="CW19" s="53"/>
      <c r="CX19" s="53">
        <f>SUM(CX7:CX18)</f>
        <v>0</v>
      </c>
      <c r="CY19" s="53"/>
      <c r="CZ19" s="53"/>
      <c r="DA19" s="53"/>
      <c r="DB19" s="53"/>
      <c r="DC19" s="53">
        <f>SUM(DC7:DC18)</f>
        <v>0</v>
      </c>
      <c r="DD19" s="53"/>
      <c r="DE19" s="53"/>
      <c r="DF19" s="53"/>
      <c r="DG19" s="53"/>
      <c r="DH19" s="53">
        <f>SUM(DH7:DH18)</f>
        <v>0</v>
      </c>
      <c r="DI19" s="53"/>
      <c r="DJ19" s="53"/>
      <c r="DK19" s="53"/>
      <c r="DL19" s="53"/>
      <c r="DM19" s="53">
        <f>SUM(DM7:DM18)</f>
        <v>0</v>
      </c>
      <c r="DN19" s="53"/>
      <c r="DO19" s="53"/>
      <c r="DP19" s="53"/>
      <c r="DQ19" s="53"/>
      <c r="DR19" s="53">
        <f>SUM(DR7:DR18)</f>
        <v>0</v>
      </c>
      <c r="DS19" s="53"/>
      <c r="DT19" s="53"/>
      <c r="DU19" s="53"/>
      <c r="DV19" s="53"/>
      <c r="DW19" s="53">
        <f>SUM(DW7:DW18)</f>
        <v>0</v>
      </c>
      <c r="DX19" s="53"/>
      <c r="DY19" s="53"/>
      <c r="DZ19" s="53"/>
      <c r="EA19" s="53"/>
      <c r="EB19" s="53">
        <f>SUM(EB7:EB18)</f>
        <v>0</v>
      </c>
      <c r="EC19" s="53"/>
      <c r="ED19" s="53"/>
      <c r="EE19" s="53"/>
      <c r="EF19" s="53"/>
      <c r="EG19" s="53">
        <f>SUM(EG7:EG18)</f>
        <v>0</v>
      </c>
      <c r="EH19" s="53"/>
      <c r="EI19" s="53"/>
      <c r="EJ19" s="53"/>
      <c r="EK19" s="53"/>
      <c r="EL19" s="53">
        <f>SUM(EL7:EL18)</f>
        <v>0</v>
      </c>
      <c r="EM19" s="53"/>
      <c r="EN19" s="53"/>
      <c r="EO19" s="53"/>
      <c r="EP19" s="53"/>
      <c r="EQ19" s="53">
        <f>SUM(EQ7:EQ18)</f>
        <v>0</v>
      </c>
      <c r="ER19" s="53"/>
      <c r="ES19" s="53"/>
      <c r="ET19" s="53"/>
      <c r="EU19" s="53"/>
      <c r="EV19" s="53">
        <f>SUM(EV7:EV18)</f>
        <v>0</v>
      </c>
      <c r="EW19" s="53"/>
      <c r="EX19" s="53"/>
      <c r="EY19" s="53"/>
      <c r="EZ19" s="53"/>
      <c r="FA19" s="53">
        <f>SUM(FA7:FA18)</f>
        <v>0</v>
      </c>
      <c r="FB19" s="53"/>
      <c r="FC19" s="53"/>
      <c r="FD19" s="53"/>
      <c r="FE19" s="53"/>
      <c r="FF19" s="53">
        <f>SUM(FF7:FF18)</f>
        <v>0</v>
      </c>
      <c r="FG19" s="53"/>
      <c r="FH19" s="53"/>
      <c r="FI19" s="53"/>
      <c r="FJ19" s="53"/>
      <c r="FK19" s="53">
        <f>SUM(FK7:FK18)</f>
        <v>0</v>
      </c>
      <c r="FL19" s="53"/>
      <c r="FM19" s="53"/>
      <c r="FN19" s="53"/>
      <c r="FO19" s="53"/>
      <c r="FP19" s="53">
        <f>SUM(FP7:FP18)</f>
        <v>0</v>
      </c>
      <c r="FQ19" s="53"/>
      <c r="FR19" s="53"/>
      <c r="FS19" s="53"/>
      <c r="FT19" s="53"/>
      <c r="FU19" s="53">
        <f>SUM(FU7:FU18)</f>
        <v>0</v>
      </c>
      <c r="FV19" s="53"/>
      <c r="FW19" s="53"/>
      <c r="FX19" s="53"/>
      <c r="FY19" s="53"/>
      <c r="FZ19" s="53">
        <f>SUM(FZ7:FZ18)</f>
        <v>0</v>
      </c>
      <c r="GA19" s="62"/>
      <c r="GB19" s="62"/>
      <c r="GC19" s="62"/>
      <c r="GD19" s="62"/>
      <c r="GE19" s="62"/>
    </row>
    <row r="20" spans="1:187" ht="15.75" customHeight="1" thickTop="1" x14ac:dyDescent="0.2">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c r="FU20" s="32"/>
      <c r="FV20" s="32"/>
      <c r="FW20" s="32"/>
      <c r="FX20" s="32"/>
      <c r="FY20" s="32"/>
      <c r="FZ20" s="32"/>
      <c r="GA20" s="62"/>
      <c r="GB20" s="62"/>
      <c r="GC20" s="62"/>
      <c r="GD20" s="62"/>
      <c r="GE20" s="62"/>
    </row>
    <row r="21" spans="1:187" ht="15.75" customHeight="1" x14ac:dyDescent="0.2">
      <c r="A21" s="15" t="s">
        <v>115</v>
      </c>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62"/>
      <c r="GB21" s="62"/>
      <c r="GC21" s="62"/>
      <c r="GD21" s="62"/>
      <c r="GE21" s="62"/>
    </row>
    <row r="22" spans="1:187" ht="111.75" customHeight="1" x14ac:dyDescent="0.2">
      <c r="A22" s="4" t="s">
        <v>116</v>
      </c>
      <c r="B22" s="3"/>
      <c r="C22" s="85"/>
      <c r="D22" s="86"/>
      <c r="E22" s="86"/>
      <c r="F22" s="86"/>
      <c r="G22" s="86"/>
      <c r="H22" s="86"/>
      <c r="I22" s="86"/>
      <c r="J22" s="86"/>
      <c r="K22" s="86"/>
      <c r="L22" s="86"/>
      <c r="M22" s="86"/>
      <c r="N22" s="86"/>
      <c r="O22" s="86"/>
      <c r="P22" s="86"/>
      <c r="Q22" s="86"/>
      <c r="R22" s="86"/>
      <c r="S22" s="86"/>
      <c r="T22" s="87"/>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62"/>
      <c r="GB22" s="62"/>
      <c r="GC22" s="62"/>
      <c r="GD22" s="62"/>
      <c r="GE22" s="62"/>
    </row>
    <row r="23" spans="1:187" ht="31.5" customHeight="1" x14ac:dyDescent="0.2">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GA23" s="62"/>
      <c r="GB23" s="62"/>
      <c r="GC23" s="62"/>
      <c r="GD23" s="62"/>
      <c r="GE23" s="62"/>
    </row>
    <row r="24" spans="1:187" ht="31.5" customHeight="1" x14ac:dyDescent="0.2">
      <c r="A24" s="61" t="s">
        <v>364</v>
      </c>
      <c r="B24" s="3"/>
      <c r="C24" s="3"/>
      <c r="D24" s="3"/>
      <c r="E24" s="3"/>
      <c r="F24" s="3"/>
      <c r="G24" s="3" t="b">
        <f>AND(EXACT(G19,('2-3 INQUIRIES'!C7+'2-3 INQUIRIES'!C11)))</f>
        <v>1</v>
      </c>
      <c r="H24" s="3"/>
      <c r="I24" s="3"/>
      <c r="J24" s="3"/>
      <c r="K24" s="3"/>
      <c r="L24" s="3" t="b">
        <f>AND(EXACT(L19,('2-3 INQUIRIES'!H7+'2-3 INQUIRIES'!H11)))</f>
        <v>1</v>
      </c>
      <c r="M24" s="3"/>
      <c r="N24" s="3"/>
      <c r="O24" s="3"/>
      <c r="P24" s="3"/>
      <c r="Q24" s="3" t="b">
        <f>AND(EXACT(Q19,('2-3 INQUIRIES'!M7+'2-3 INQUIRIES'!M11)))</f>
        <v>1</v>
      </c>
      <c r="R24" s="3"/>
      <c r="S24" s="3"/>
      <c r="T24" s="3"/>
      <c r="U24" s="3"/>
      <c r="V24" s="3" t="b">
        <f>AND(EXACT(V19,('2-3 INQUIRIES'!R7+'2-3 INQUIRIES'!R11)))</f>
        <v>1</v>
      </c>
      <c r="W24" s="3"/>
      <c r="X24" s="3"/>
      <c r="Y24" s="3"/>
      <c r="Z24" s="3"/>
      <c r="AA24" s="3" t="b">
        <f>AND(EXACT(AA19,('2-3 INQUIRIES'!W7+'2-3 INQUIRIES'!W11)))</f>
        <v>1</v>
      </c>
      <c r="AB24" s="3"/>
      <c r="AC24" s="3"/>
      <c r="AD24" s="3"/>
      <c r="AE24" s="3"/>
      <c r="AF24" s="3" t="b">
        <f>AND(EXACT(AF19,('2-3 INQUIRIES'!AB7+'2-3 INQUIRIES'!AB11)))</f>
        <v>1</v>
      </c>
      <c r="AG24" s="3"/>
      <c r="AH24" s="3"/>
      <c r="AI24" s="3"/>
      <c r="AJ24" s="3"/>
      <c r="AK24" s="3" t="b">
        <f>AND(EXACT(AK19,('2-3 INQUIRIES'!AG7+'2-3 INQUIRIES'!AG11)))</f>
        <v>1</v>
      </c>
      <c r="AL24" s="3"/>
      <c r="AM24" s="3"/>
      <c r="AN24" s="3"/>
      <c r="AO24" s="3"/>
      <c r="AP24" s="3" t="b">
        <f>AND(EXACT(AP19,('2-3 INQUIRIES'!AL7+'2-3 INQUIRIES'!AL11)))</f>
        <v>1</v>
      </c>
      <c r="AQ24" s="3"/>
      <c r="AR24" s="3"/>
      <c r="AS24" s="3"/>
      <c r="AT24" s="3"/>
      <c r="AU24" s="3" t="b">
        <f>AND(EXACT(AU19,('2-3 INQUIRIES'!AQ7+'2-3 INQUIRIES'!AQ11)))</f>
        <v>1</v>
      </c>
      <c r="AV24" s="3"/>
      <c r="AW24" s="3"/>
      <c r="AX24" s="3"/>
      <c r="AY24" s="3"/>
      <c r="AZ24" s="3" t="b">
        <f>AND(EXACT(AZ19,('2-3 INQUIRIES'!AV7+'2-3 INQUIRIES'!AV11)))</f>
        <v>1</v>
      </c>
      <c r="BA24" s="3"/>
      <c r="BB24" s="3"/>
      <c r="BC24" s="3"/>
      <c r="BD24" s="3"/>
      <c r="BE24" s="3" t="b">
        <f>AND(EXACT(BE19,('2-3 INQUIRIES'!BA7+'2-3 INQUIRIES'!BA11)))</f>
        <v>1</v>
      </c>
      <c r="BF24" s="3"/>
      <c r="BG24" s="3"/>
      <c r="BH24" s="3"/>
      <c r="BI24" s="3"/>
      <c r="BJ24" s="3" t="b">
        <f>AND(EXACT(BJ19,('2-3 INQUIRIES'!BF7+'2-3 INQUIRIES'!BF11)))</f>
        <v>1</v>
      </c>
      <c r="BK24" s="3"/>
      <c r="BL24" s="3"/>
      <c r="BM24" s="3"/>
      <c r="BN24" s="3"/>
      <c r="BO24" s="3" t="b">
        <f>AND(EXACT(BO19,('2-3 INQUIRIES'!BK7+'2-3 INQUIRIES'!BK11)))</f>
        <v>1</v>
      </c>
      <c r="BP24" s="3"/>
      <c r="BQ24" s="3"/>
      <c r="BR24" s="3"/>
      <c r="BS24" s="3"/>
      <c r="BT24" s="3" t="b">
        <f>AND(EXACT(BT19,('2-3 INQUIRIES'!BP7+'2-3 INQUIRIES'!BP11)))</f>
        <v>1</v>
      </c>
      <c r="BU24" s="3"/>
      <c r="BV24" s="3"/>
      <c r="BW24" s="3"/>
      <c r="BX24" s="3"/>
      <c r="BY24" s="3" t="b">
        <f>AND(EXACT(BY19,('2-3 INQUIRIES'!BU7+'2-3 INQUIRIES'!BU11)))</f>
        <v>1</v>
      </c>
      <c r="BZ24" s="3"/>
      <c r="CA24" s="3"/>
      <c r="CB24" s="3"/>
      <c r="CC24" s="3"/>
      <c r="CD24" s="3" t="b">
        <f>AND(EXACT(CD19,('2-3 INQUIRIES'!BZ7+'2-3 INQUIRIES'!BZ11)))</f>
        <v>1</v>
      </c>
      <c r="CE24" s="3"/>
      <c r="CF24" s="3"/>
      <c r="CG24" s="3"/>
      <c r="CH24" s="3"/>
      <c r="CI24" s="3" t="b">
        <f>AND(EXACT(CI19,('2-3 INQUIRIES'!CE7+'2-3 INQUIRIES'!CE11)))</f>
        <v>1</v>
      </c>
      <c r="CJ24" s="3"/>
      <c r="CK24" s="3"/>
      <c r="CL24" s="3"/>
      <c r="CM24" s="3"/>
      <c r="CN24" s="3" t="b">
        <f>AND(EXACT(CN19,('2-3 INQUIRIES'!CJ7+'2-3 INQUIRIES'!CJ11)))</f>
        <v>1</v>
      </c>
      <c r="CO24" s="3"/>
      <c r="CP24" s="3"/>
      <c r="CQ24" s="3"/>
      <c r="CR24" s="3"/>
      <c r="CS24" s="3" t="b">
        <f>AND(EXACT(CS19,('2-3 INQUIRIES'!CO7+'2-3 INQUIRIES'!CO11)))</f>
        <v>1</v>
      </c>
      <c r="CT24" s="3"/>
      <c r="CU24" s="3"/>
      <c r="CV24" s="3"/>
      <c r="CW24" s="3"/>
      <c r="CX24" s="3" t="b">
        <f>AND(EXACT(CX19,('2-3 INQUIRIES'!CT7+'2-3 INQUIRIES'!CT11)))</f>
        <v>1</v>
      </c>
      <c r="CY24" s="3"/>
      <c r="CZ24" s="3"/>
      <c r="DA24" s="3"/>
      <c r="DB24" s="3"/>
      <c r="DC24" s="3" t="b">
        <f>AND(EXACT(DC19,('2-3 INQUIRIES'!CY7+'2-3 INQUIRIES'!CY11)))</f>
        <v>1</v>
      </c>
      <c r="DD24" s="3"/>
      <c r="DE24" s="3"/>
      <c r="DF24" s="3"/>
      <c r="DG24" s="3"/>
      <c r="DH24" s="3" t="b">
        <f>AND(EXACT(DH19,('2-3 INQUIRIES'!DD7+'2-3 INQUIRIES'!DD11)))</f>
        <v>1</v>
      </c>
      <c r="DI24" s="3"/>
      <c r="DJ24" s="3"/>
      <c r="DK24" s="3"/>
      <c r="DL24" s="3"/>
      <c r="DM24" s="3" t="b">
        <f>AND(EXACT(DM19,('2-3 INQUIRIES'!DI7+'2-3 INQUIRIES'!DI11)))</f>
        <v>1</v>
      </c>
      <c r="DN24" s="3"/>
      <c r="DO24" s="3"/>
      <c r="DP24" s="3"/>
      <c r="DQ24" s="3"/>
      <c r="DR24" s="3" t="b">
        <f>AND(EXACT(DR19,('2-3 INQUIRIES'!DN7+'2-3 INQUIRIES'!DN11)))</f>
        <v>1</v>
      </c>
      <c r="DS24" s="3"/>
      <c r="DT24" s="3"/>
      <c r="DU24" s="3"/>
      <c r="DV24" s="3"/>
      <c r="DW24" s="3" t="b">
        <f>AND(EXACT(DW19,('2-3 INQUIRIES'!DS7+'2-3 INQUIRIES'!DS11)))</f>
        <v>1</v>
      </c>
      <c r="DX24" s="3"/>
      <c r="DY24" s="3"/>
      <c r="DZ24" s="3"/>
      <c r="EA24" s="3"/>
      <c r="EB24" s="3" t="b">
        <f>AND(EXACT(EB19,('2-3 INQUIRIES'!DX7+'2-3 INQUIRIES'!DX11)))</f>
        <v>1</v>
      </c>
      <c r="EC24" s="3"/>
      <c r="ED24" s="3"/>
      <c r="EE24" s="3"/>
      <c r="EF24" s="3"/>
      <c r="EG24" s="3" t="b">
        <f>AND(EXACT(EG19,('2-3 INQUIRIES'!EC7+'2-3 INQUIRIES'!EC11)))</f>
        <v>1</v>
      </c>
      <c r="EH24" s="3"/>
      <c r="EI24" s="3"/>
      <c r="EJ24" s="3"/>
      <c r="EK24" s="3"/>
      <c r="EL24" s="3" t="b">
        <f>AND(EXACT(EL19,('2-3 INQUIRIES'!EH7+'2-3 INQUIRIES'!EH11)))</f>
        <v>1</v>
      </c>
      <c r="EM24" s="3"/>
      <c r="EN24" s="3"/>
      <c r="EO24" s="3"/>
      <c r="EP24" s="3"/>
      <c r="EQ24" s="3" t="b">
        <f>AND(EXACT(EQ19,('2-3 INQUIRIES'!EM7+'2-3 INQUIRIES'!EM11)))</f>
        <v>1</v>
      </c>
      <c r="ER24" s="3"/>
      <c r="ES24" s="3"/>
      <c r="ET24" s="3"/>
      <c r="EU24" s="3"/>
      <c r="EV24" s="3" t="b">
        <f>AND(EXACT(EV19,('2-3 INQUIRIES'!ER7+'2-3 INQUIRIES'!ER11)))</f>
        <v>1</v>
      </c>
      <c r="EW24" s="3"/>
      <c r="EX24" s="3"/>
      <c r="EY24" s="3"/>
      <c r="EZ24" s="3"/>
      <c r="FA24" s="3" t="b">
        <f>AND(EXACT(FA19,('2-3 INQUIRIES'!EW7+'2-3 INQUIRIES'!EW11)))</f>
        <v>1</v>
      </c>
      <c r="FB24" s="3"/>
      <c r="FC24" s="3"/>
      <c r="FD24" s="3"/>
      <c r="FE24" s="3"/>
      <c r="FF24" s="3" t="b">
        <f>AND(EXACT(FF19,('2-3 INQUIRIES'!FB7+'2-3 INQUIRIES'!FB11)))</f>
        <v>1</v>
      </c>
      <c r="FG24" s="3"/>
      <c r="FH24" s="3"/>
      <c r="FI24" s="3"/>
      <c r="FJ24" s="3"/>
      <c r="FK24" s="3" t="b">
        <f>AND(EXACT(FK19,('2-3 INQUIRIES'!FG7+'2-3 INQUIRIES'!FG11)))</f>
        <v>1</v>
      </c>
      <c r="FL24" s="3"/>
      <c r="FM24" s="3"/>
      <c r="FN24" s="3"/>
      <c r="FO24" s="3"/>
      <c r="FP24" s="3" t="b">
        <f>AND(EXACT(FP19,('2-3 INQUIRIES'!FL7+'2-3 INQUIRIES'!FL11)))</f>
        <v>1</v>
      </c>
      <c r="FQ24" s="3"/>
      <c r="FR24" s="3"/>
      <c r="FS24" s="3"/>
      <c r="FT24" s="3"/>
      <c r="FU24" s="3" t="b">
        <f>AND(EXACT(FU19,('2-3 INQUIRIES'!FQ7+'2-3 INQUIRIES'!FQ11)))</f>
        <v>1</v>
      </c>
      <c r="FV24" s="3"/>
      <c r="FW24" s="3"/>
      <c r="FX24" s="3"/>
      <c r="FY24" s="3"/>
      <c r="FZ24" s="3" t="b">
        <f>AND(EXACT(FZ19,('2-3 INQUIRIES'!FV7+'2-3 INQUIRIES'!FV11)))</f>
        <v>1</v>
      </c>
      <c r="GA24" s="62"/>
      <c r="GB24" s="62"/>
      <c r="GC24" s="62"/>
      <c r="GD24" s="62"/>
      <c r="GE24" s="62"/>
    </row>
    <row r="25" spans="1:187" ht="31.5" customHeight="1" x14ac:dyDescent="0.2">
      <c r="B25" s="3"/>
      <c r="C25" s="3"/>
      <c r="D25" s="3"/>
      <c r="E25" s="3"/>
      <c r="F25" s="3"/>
      <c r="G25" s="6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row>
    <row r="26" spans="1:187" ht="31.5" customHeight="1" x14ac:dyDescent="0.2">
      <c r="A26" s="15" t="s">
        <v>320</v>
      </c>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row>
    <row r="27" spans="1:187" ht="409" customHeight="1" x14ac:dyDescent="0.2">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row>
    <row r="28" spans="1:187" ht="194" customHeight="1" x14ac:dyDescent="0.2">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row>
    <row r="29" spans="1:187" ht="15.75" customHeight="1" x14ac:dyDescent="0.2">
      <c r="A29" s="15" t="s">
        <v>389</v>
      </c>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row>
    <row r="30" spans="1:187" ht="15.75" customHeight="1" x14ac:dyDescent="0.2">
      <c r="A30" s="16" t="s">
        <v>201</v>
      </c>
      <c r="B30" s="3"/>
      <c r="C30" s="17" t="s">
        <v>62</v>
      </c>
      <c r="D30" s="17" t="s">
        <v>63</v>
      </c>
      <c r="E30" s="17" t="s">
        <v>64</v>
      </c>
      <c r="F30" s="17" t="s">
        <v>65</v>
      </c>
      <c r="G30" s="17" t="s">
        <v>62</v>
      </c>
      <c r="H30" s="17" t="s">
        <v>63</v>
      </c>
      <c r="I30" s="17" t="s">
        <v>64</v>
      </c>
      <c r="J30" s="17" t="s">
        <v>65</v>
      </c>
      <c r="K30" s="17" t="s">
        <v>62</v>
      </c>
      <c r="L30" s="17" t="s">
        <v>63</v>
      </c>
      <c r="M30" s="17" t="s">
        <v>64</v>
      </c>
      <c r="N30" s="17" t="s">
        <v>65</v>
      </c>
      <c r="O30" s="17" t="s">
        <v>62</v>
      </c>
      <c r="P30" s="17" t="s">
        <v>63</v>
      </c>
      <c r="Q30" s="17" t="s">
        <v>64</v>
      </c>
      <c r="R30" s="17" t="s">
        <v>65</v>
      </c>
      <c r="S30" s="17" t="s">
        <v>62</v>
      </c>
      <c r="T30" s="17" t="s">
        <v>63</v>
      </c>
      <c r="U30" s="17" t="s">
        <v>64</v>
      </c>
      <c r="V30" s="17" t="s">
        <v>65</v>
      </c>
      <c r="W30" s="17" t="s">
        <v>62</v>
      </c>
      <c r="X30" s="17" t="s">
        <v>63</v>
      </c>
      <c r="Y30" s="17" t="s">
        <v>64</v>
      </c>
      <c r="Z30" s="17" t="s">
        <v>65</v>
      </c>
      <c r="AA30" s="17" t="s">
        <v>62</v>
      </c>
      <c r="AB30" s="17" t="s">
        <v>63</v>
      </c>
      <c r="AC30" s="17" t="s">
        <v>64</v>
      </c>
      <c r="AD30" s="17" t="s">
        <v>65</v>
      </c>
      <c r="AE30" s="17" t="s">
        <v>62</v>
      </c>
      <c r="AF30" s="17" t="s">
        <v>63</v>
      </c>
      <c r="AG30" s="17" t="s">
        <v>64</v>
      </c>
      <c r="AH30" s="17" t="s">
        <v>65</v>
      </c>
      <c r="AI30" s="17" t="s">
        <v>62</v>
      </c>
      <c r="AJ30" s="17" t="s">
        <v>63</v>
      </c>
      <c r="AK30" s="17" t="s">
        <v>64</v>
      </c>
      <c r="AL30" s="17" t="s">
        <v>65</v>
      </c>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row>
    <row r="31" spans="1:187" ht="15.75" customHeight="1" x14ac:dyDescent="0.2">
      <c r="A31" s="16" t="s">
        <v>373</v>
      </c>
      <c r="B31" s="3"/>
      <c r="C31" s="17" t="s">
        <v>385</v>
      </c>
      <c r="D31" s="17" t="s">
        <v>386</v>
      </c>
      <c r="E31" s="17" t="s">
        <v>387</v>
      </c>
      <c r="F31" s="17" t="s">
        <v>388</v>
      </c>
      <c r="G31" s="17" t="s">
        <v>66</v>
      </c>
      <c r="H31" s="17" t="s">
        <v>67</v>
      </c>
      <c r="I31" s="17" t="s">
        <v>68</v>
      </c>
      <c r="J31" s="17" t="s">
        <v>69</v>
      </c>
      <c r="K31" s="17" t="s">
        <v>70</v>
      </c>
      <c r="L31" s="17" t="s">
        <v>71</v>
      </c>
      <c r="M31" s="17" t="s">
        <v>72</v>
      </c>
      <c r="N31" s="17" t="s">
        <v>73</v>
      </c>
      <c r="O31" s="17" t="s">
        <v>74</v>
      </c>
      <c r="P31" s="17" t="s">
        <v>75</v>
      </c>
      <c r="Q31" s="17" t="s">
        <v>76</v>
      </c>
      <c r="R31" s="17" t="s">
        <v>77</v>
      </c>
      <c r="S31" s="58" t="s">
        <v>321</v>
      </c>
      <c r="T31" s="17" t="s">
        <v>322</v>
      </c>
      <c r="U31" s="17" t="s">
        <v>323</v>
      </c>
      <c r="V31" s="17" t="s">
        <v>324</v>
      </c>
      <c r="W31" s="58" t="s">
        <v>325</v>
      </c>
      <c r="X31" s="17" t="s">
        <v>326</v>
      </c>
      <c r="Y31" s="17" t="s">
        <v>327</v>
      </c>
      <c r="Z31" s="17" t="s">
        <v>328</v>
      </c>
      <c r="AA31" s="17" t="s">
        <v>329</v>
      </c>
      <c r="AB31" s="17" t="s">
        <v>330</v>
      </c>
      <c r="AC31" s="17" t="s">
        <v>331</v>
      </c>
      <c r="AD31" s="17" t="s">
        <v>332</v>
      </c>
      <c r="AE31" s="17" t="s">
        <v>333</v>
      </c>
      <c r="AF31" s="17" t="s">
        <v>334</v>
      </c>
      <c r="AG31" s="17" t="s">
        <v>335</v>
      </c>
      <c r="AH31" s="17" t="s">
        <v>336</v>
      </c>
      <c r="AI31" s="17" t="s">
        <v>337</v>
      </c>
      <c r="AJ31" s="17" t="s">
        <v>338</v>
      </c>
      <c r="AK31" s="17" t="s">
        <v>339</v>
      </c>
      <c r="AL31" s="17" t="s">
        <v>340</v>
      </c>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row>
    <row r="32" spans="1:187" ht="15.75" customHeight="1" x14ac:dyDescent="0.2">
      <c r="A32" s="50" t="s">
        <v>208</v>
      </c>
      <c r="B32" s="3"/>
      <c r="C32" s="66" cm="1">
        <f t="array" ref="C32:C43">'13 AGE &amp; GENDER'!G7:G18</f>
        <v>0</v>
      </c>
      <c r="D32" s="66" cm="1">
        <f t="array" ref="D32:D43">'13 AGE &amp; GENDER'!L7:L18</f>
        <v>0</v>
      </c>
      <c r="E32" s="66" cm="1">
        <f t="array" ref="E32:E43">'13 AGE &amp; GENDER'!Q7:Q18</f>
        <v>0</v>
      </c>
      <c r="F32" s="66" cm="1">
        <f t="array" ref="F32:F43">'13 AGE &amp; GENDER'!V7:V18</f>
        <v>0</v>
      </c>
      <c r="G32" s="66" cm="1">
        <f t="array" ref="G32:G43">'13 AGE &amp; GENDER'!AA7:AA18</f>
        <v>0</v>
      </c>
      <c r="H32" s="66" cm="1">
        <f t="array" ref="H32:H43">'13 AGE &amp; GENDER'!AF7:AF18</f>
        <v>0</v>
      </c>
      <c r="I32" s="66" cm="1">
        <f t="array" ref="I32:I43">'13 AGE &amp; GENDER'!AK7:AK18</f>
        <v>0</v>
      </c>
      <c r="J32" s="66" cm="1">
        <f t="array" ref="J32:J43">'13 AGE &amp; GENDER'!AP7:AP18</f>
        <v>0</v>
      </c>
      <c r="K32" s="66" cm="1">
        <f t="array" ref="K32:K43">'13 AGE &amp; GENDER'!AU7:AU18</f>
        <v>0</v>
      </c>
      <c r="L32" s="66" cm="1">
        <f t="array" ref="L32:L43">'13 AGE &amp; GENDER'!AZ7:AZ18</f>
        <v>0</v>
      </c>
      <c r="M32" s="66" cm="1">
        <f t="array" ref="M32:M43">'13 AGE &amp; GENDER'!BE7:BE18</f>
        <v>0</v>
      </c>
      <c r="N32" s="66" cm="1">
        <f t="array" ref="N32:N43">'13 AGE &amp; GENDER'!BJ7:BJ18</f>
        <v>0</v>
      </c>
      <c r="O32" s="66" cm="1">
        <f t="array" ref="O32:O43">'13 AGE &amp; GENDER'!BO7:BO18</f>
        <v>0</v>
      </c>
      <c r="P32" s="66" cm="1">
        <f t="array" ref="P32:P43">'13 AGE &amp; GENDER'!BT7:BT18</f>
        <v>0</v>
      </c>
      <c r="Q32" s="66" cm="1">
        <f t="array" ref="Q32:Q43">'13 AGE &amp; GENDER'!BY7:BY18</f>
        <v>0</v>
      </c>
      <c r="R32" s="66" cm="1">
        <f t="array" ref="R32:R43">'13 AGE &amp; GENDER'!CD7:CD18</f>
        <v>0</v>
      </c>
      <c r="S32" s="66" cm="1">
        <f t="array" ref="S32:S43">'13 AGE &amp; GENDER'!CI7:CI18</f>
        <v>0</v>
      </c>
      <c r="T32" s="66" cm="1">
        <f t="array" ref="T32:T43">'13 AGE &amp; GENDER'!CN7:CN18</f>
        <v>0</v>
      </c>
      <c r="U32" s="66" cm="1">
        <f t="array" ref="U32:U43">'13 AGE &amp; GENDER'!CS7:CS18</f>
        <v>0</v>
      </c>
      <c r="V32" s="66" cm="1">
        <f t="array" ref="V32:V43">'13 AGE &amp; GENDER'!CX7:CX18</f>
        <v>0</v>
      </c>
      <c r="W32" s="66" cm="1">
        <f t="array" ref="W32:W43">'13 AGE &amp; GENDER'!DC7:DC18</f>
        <v>0</v>
      </c>
      <c r="X32" s="66" cm="1">
        <f t="array" ref="X32:X43">'13 AGE &amp; GENDER'!DH7:DH18</f>
        <v>0</v>
      </c>
      <c r="Y32" s="66" cm="1">
        <f t="array" ref="Y32:Y43">'13 AGE &amp; GENDER'!DM7:DM18</f>
        <v>0</v>
      </c>
      <c r="Z32" s="66" cm="1">
        <f t="array" ref="Z32:Z43">'13 AGE &amp; GENDER'!DR7:DR18</f>
        <v>0</v>
      </c>
      <c r="AA32" s="66" cm="1">
        <f t="array" ref="AA32:AA43">'13 AGE &amp; GENDER'!DW7:DW18</f>
        <v>0</v>
      </c>
      <c r="AB32" s="66" cm="1">
        <f t="array" ref="AB32:AB43">'13 AGE &amp; GENDER'!EB7:EB18</f>
        <v>0</v>
      </c>
      <c r="AC32" s="66" cm="1">
        <f t="array" ref="AC32:AC43">'13 AGE &amp; GENDER'!EG7:EG18</f>
        <v>0</v>
      </c>
      <c r="AD32" s="66" cm="1">
        <f t="array" ref="AD32:AD43">'13 AGE &amp; GENDER'!EL7:EL18</f>
        <v>0</v>
      </c>
      <c r="AE32" s="66" cm="1">
        <f t="array" ref="AE32:AE43">'13 AGE &amp; GENDER'!EQ7:EQ18</f>
        <v>0</v>
      </c>
      <c r="AF32" s="66" cm="1">
        <f t="array" ref="AF32:AF43">'13 AGE &amp; GENDER'!EV7:EV18</f>
        <v>0</v>
      </c>
      <c r="AG32" s="66" cm="1">
        <f t="array" ref="AG32:AG43">'13 AGE &amp; GENDER'!FA7:FA18</f>
        <v>0</v>
      </c>
      <c r="AH32" s="66" cm="1">
        <f t="array" ref="AH32:AH43">'13 AGE &amp; GENDER'!FF7:FF18</f>
        <v>0</v>
      </c>
      <c r="AI32" s="66" cm="1">
        <f t="array" ref="AI32:AI43">'13 AGE &amp; GENDER'!FK7:FK18</f>
        <v>0</v>
      </c>
      <c r="AJ32" s="66" cm="1">
        <f t="array" ref="AJ32:AJ43">'13 AGE &amp; GENDER'!FP7:FP18</f>
        <v>0</v>
      </c>
      <c r="AK32" s="66" cm="1">
        <f t="array" ref="AK32:AK43">'13 AGE &amp; GENDER'!FU7:FU18</f>
        <v>0</v>
      </c>
      <c r="AL32" s="66" cm="1">
        <f t="array" ref="AL32:AL43">'13 AGE &amp; GENDER'!FZ7:FZ18</f>
        <v>0</v>
      </c>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row>
    <row r="33" spans="1:187" ht="15.75" customHeight="1" x14ac:dyDescent="0.2">
      <c r="A33" s="50" t="s">
        <v>209</v>
      </c>
      <c r="B33" s="3"/>
      <c r="C33" s="66">
        <v>0</v>
      </c>
      <c r="D33" s="66">
        <v>0</v>
      </c>
      <c r="E33" s="66">
        <v>0</v>
      </c>
      <c r="F33" s="66">
        <v>0</v>
      </c>
      <c r="G33" s="66">
        <v>0</v>
      </c>
      <c r="H33" s="66">
        <v>0</v>
      </c>
      <c r="I33" s="66">
        <v>0</v>
      </c>
      <c r="J33" s="66">
        <v>0</v>
      </c>
      <c r="K33" s="66">
        <v>0</v>
      </c>
      <c r="L33" s="66">
        <v>0</v>
      </c>
      <c r="M33" s="66">
        <v>0</v>
      </c>
      <c r="N33" s="66">
        <v>0</v>
      </c>
      <c r="O33" s="66">
        <v>0</v>
      </c>
      <c r="P33" s="66">
        <v>0</v>
      </c>
      <c r="Q33" s="66">
        <v>0</v>
      </c>
      <c r="R33" s="66">
        <v>0</v>
      </c>
      <c r="S33" s="66">
        <v>0</v>
      </c>
      <c r="T33" s="66">
        <v>0</v>
      </c>
      <c r="U33" s="66">
        <v>0</v>
      </c>
      <c r="V33" s="66">
        <v>0</v>
      </c>
      <c r="W33" s="66">
        <v>0</v>
      </c>
      <c r="X33" s="66">
        <v>0</v>
      </c>
      <c r="Y33" s="66">
        <v>0</v>
      </c>
      <c r="Z33" s="66">
        <v>0</v>
      </c>
      <c r="AA33" s="66">
        <v>0</v>
      </c>
      <c r="AB33" s="66">
        <v>0</v>
      </c>
      <c r="AC33" s="66">
        <v>0</v>
      </c>
      <c r="AD33" s="66">
        <v>0</v>
      </c>
      <c r="AE33" s="66">
        <v>0</v>
      </c>
      <c r="AF33" s="66">
        <v>0</v>
      </c>
      <c r="AG33" s="66">
        <v>0</v>
      </c>
      <c r="AH33" s="66">
        <v>0</v>
      </c>
      <c r="AI33" s="66">
        <v>0</v>
      </c>
      <c r="AJ33" s="66">
        <v>0</v>
      </c>
      <c r="AK33" s="66">
        <v>0</v>
      </c>
      <c r="AL33" s="66">
        <v>0</v>
      </c>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row>
    <row r="34" spans="1:187" ht="15.75" customHeight="1" x14ac:dyDescent="0.2">
      <c r="A34" s="50" t="s">
        <v>210</v>
      </c>
      <c r="B34" s="3"/>
      <c r="C34" s="66">
        <v>0</v>
      </c>
      <c r="D34" s="66">
        <v>0</v>
      </c>
      <c r="E34" s="66">
        <v>0</v>
      </c>
      <c r="F34" s="66">
        <v>0</v>
      </c>
      <c r="G34" s="66">
        <v>0</v>
      </c>
      <c r="H34" s="66">
        <v>0</v>
      </c>
      <c r="I34" s="66">
        <v>0</v>
      </c>
      <c r="J34" s="66">
        <v>0</v>
      </c>
      <c r="K34" s="66">
        <v>0</v>
      </c>
      <c r="L34" s="66">
        <v>0</v>
      </c>
      <c r="M34" s="66">
        <v>0</v>
      </c>
      <c r="N34" s="66">
        <v>0</v>
      </c>
      <c r="O34" s="66">
        <v>0</v>
      </c>
      <c r="P34" s="66">
        <v>0</v>
      </c>
      <c r="Q34" s="66">
        <v>0</v>
      </c>
      <c r="R34" s="66">
        <v>0</v>
      </c>
      <c r="S34" s="66">
        <v>0</v>
      </c>
      <c r="T34" s="66">
        <v>0</v>
      </c>
      <c r="U34" s="66">
        <v>0</v>
      </c>
      <c r="V34" s="66">
        <v>0</v>
      </c>
      <c r="W34" s="66">
        <v>0</v>
      </c>
      <c r="X34" s="66">
        <v>0</v>
      </c>
      <c r="Y34" s="66">
        <v>0</v>
      </c>
      <c r="Z34" s="66">
        <v>0</v>
      </c>
      <c r="AA34" s="66">
        <v>0</v>
      </c>
      <c r="AB34" s="66">
        <v>0</v>
      </c>
      <c r="AC34" s="66">
        <v>0</v>
      </c>
      <c r="AD34" s="66">
        <v>0</v>
      </c>
      <c r="AE34" s="66">
        <v>0</v>
      </c>
      <c r="AF34" s="66">
        <v>0</v>
      </c>
      <c r="AG34" s="66">
        <v>0</v>
      </c>
      <c r="AH34" s="66">
        <v>0</v>
      </c>
      <c r="AI34" s="66">
        <v>0</v>
      </c>
      <c r="AJ34" s="66">
        <v>0</v>
      </c>
      <c r="AK34" s="66">
        <v>0</v>
      </c>
      <c r="AL34" s="66">
        <v>0</v>
      </c>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row>
    <row r="35" spans="1:187" ht="15.75" customHeight="1" x14ac:dyDescent="0.2">
      <c r="A35" s="50" t="s">
        <v>211</v>
      </c>
      <c r="B35" s="3"/>
      <c r="C35" s="66">
        <v>0</v>
      </c>
      <c r="D35" s="66">
        <v>0</v>
      </c>
      <c r="E35" s="66">
        <v>0</v>
      </c>
      <c r="F35" s="66">
        <v>0</v>
      </c>
      <c r="G35" s="66">
        <v>0</v>
      </c>
      <c r="H35" s="66">
        <v>0</v>
      </c>
      <c r="I35" s="66">
        <v>0</v>
      </c>
      <c r="J35" s="66">
        <v>0</v>
      </c>
      <c r="K35" s="66">
        <v>0</v>
      </c>
      <c r="L35" s="66">
        <v>0</v>
      </c>
      <c r="M35" s="66">
        <v>0</v>
      </c>
      <c r="N35" s="66">
        <v>0</v>
      </c>
      <c r="O35" s="66">
        <v>0</v>
      </c>
      <c r="P35" s="66">
        <v>0</v>
      </c>
      <c r="Q35" s="66">
        <v>0</v>
      </c>
      <c r="R35" s="66">
        <v>0</v>
      </c>
      <c r="S35" s="66">
        <v>0</v>
      </c>
      <c r="T35" s="66">
        <v>0</v>
      </c>
      <c r="U35" s="66">
        <v>0</v>
      </c>
      <c r="V35" s="66">
        <v>0</v>
      </c>
      <c r="W35" s="66">
        <v>0</v>
      </c>
      <c r="X35" s="66">
        <v>0</v>
      </c>
      <c r="Y35" s="66">
        <v>0</v>
      </c>
      <c r="Z35" s="66">
        <v>0</v>
      </c>
      <c r="AA35" s="66">
        <v>0</v>
      </c>
      <c r="AB35" s="66">
        <v>0</v>
      </c>
      <c r="AC35" s="66">
        <v>0</v>
      </c>
      <c r="AD35" s="66">
        <v>0</v>
      </c>
      <c r="AE35" s="66">
        <v>0</v>
      </c>
      <c r="AF35" s="66">
        <v>0</v>
      </c>
      <c r="AG35" s="66">
        <v>0</v>
      </c>
      <c r="AH35" s="66">
        <v>0</v>
      </c>
      <c r="AI35" s="66">
        <v>0</v>
      </c>
      <c r="AJ35" s="66">
        <v>0</v>
      </c>
      <c r="AK35" s="66">
        <v>0</v>
      </c>
      <c r="AL35" s="66">
        <v>0</v>
      </c>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row>
    <row r="36" spans="1:187" ht="15.75" customHeight="1" x14ac:dyDescent="0.2">
      <c r="A36" s="50" t="s">
        <v>212</v>
      </c>
      <c r="B36" s="3"/>
      <c r="C36" s="66">
        <v>0</v>
      </c>
      <c r="D36" s="66">
        <v>0</v>
      </c>
      <c r="E36" s="66">
        <v>0</v>
      </c>
      <c r="F36" s="66">
        <v>0</v>
      </c>
      <c r="G36" s="66">
        <v>0</v>
      </c>
      <c r="H36" s="66">
        <v>0</v>
      </c>
      <c r="I36" s="66">
        <v>0</v>
      </c>
      <c r="J36" s="66">
        <v>0</v>
      </c>
      <c r="K36" s="66">
        <v>0</v>
      </c>
      <c r="L36" s="66">
        <v>0</v>
      </c>
      <c r="M36" s="66">
        <v>0</v>
      </c>
      <c r="N36" s="66">
        <v>0</v>
      </c>
      <c r="O36" s="66">
        <v>0</v>
      </c>
      <c r="P36" s="66">
        <v>0</v>
      </c>
      <c r="Q36" s="66">
        <v>0</v>
      </c>
      <c r="R36" s="66">
        <v>0</v>
      </c>
      <c r="S36" s="66">
        <v>0</v>
      </c>
      <c r="T36" s="66">
        <v>0</v>
      </c>
      <c r="U36" s="66">
        <v>0</v>
      </c>
      <c r="V36" s="66">
        <v>0</v>
      </c>
      <c r="W36" s="66">
        <v>0</v>
      </c>
      <c r="X36" s="66">
        <v>0</v>
      </c>
      <c r="Y36" s="66">
        <v>0</v>
      </c>
      <c r="Z36" s="66">
        <v>0</v>
      </c>
      <c r="AA36" s="66">
        <v>0</v>
      </c>
      <c r="AB36" s="66">
        <v>0</v>
      </c>
      <c r="AC36" s="66">
        <v>0</v>
      </c>
      <c r="AD36" s="66">
        <v>0</v>
      </c>
      <c r="AE36" s="66">
        <v>0</v>
      </c>
      <c r="AF36" s="66">
        <v>0</v>
      </c>
      <c r="AG36" s="66">
        <v>0</v>
      </c>
      <c r="AH36" s="66">
        <v>0</v>
      </c>
      <c r="AI36" s="66">
        <v>0</v>
      </c>
      <c r="AJ36" s="66">
        <v>0</v>
      </c>
      <c r="AK36" s="66">
        <v>0</v>
      </c>
      <c r="AL36" s="66">
        <v>0</v>
      </c>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row>
    <row r="37" spans="1:187" ht="15.75" customHeight="1" x14ac:dyDescent="0.2">
      <c r="A37" s="50" t="s">
        <v>213</v>
      </c>
      <c r="B37" s="3"/>
      <c r="C37" s="66">
        <v>0</v>
      </c>
      <c r="D37" s="66">
        <v>0</v>
      </c>
      <c r="E37" s="66">
        <v>0</v>
      </c>
      <c r="F37" s="66">
        <v>0</v>
      </c>
      <c r="G37" s="66">
        <v>0</v>
      </c>
      <c r="H37" s="66">
        <v>0</v>
      </c>
      <c r="I37" s="66">
        <v>0</v>
      </c>
      <c r="J37" s="66">
        <v>0</v>
      </c>
      <c r="K37" s="66">
        <v>0</v>
      </c>
      <c r="L37" s="66">
        <v>0</v>
      </c>
      <c r="M37" s="66">
        <v>0</v>
      </c>
      <c r="N37" s="66">
        <v>0</v>
      </c>
      <c r="O37" s="66">
        <v>0</v>
      </c>
      <c r="P37" s="66">
        <v>0</v>
      </c>
      <c r="Q37" s="66">
        <v>0</v>
      </c>
      <c r="R37" s="66">
        <v>0</v>
      </c>
      <c r="S37" s="66">
        <v>0</v>
      </c>
      <c r="T37" s="66">
        <v>0</v>
      </c>
      <c r="U37" s="66">
        <v>0</v>
      </c>
      <c r="V37" s="66">
        <v>0</v>
      </c>
      <c r="W37" s="66">
        <v>0</v>
      </c>
      <c r="X37" s="66">
        <v>0</v>
      </c>
      <c r="Y37" s="66">
        <v>0</v>
      </c>
      <c r="Z37" s="66">
        <v>0</v>
      </c>
      <c r="AA37" s="66">
        <v>0</v>
      </c>
      <c r="AB37" s="66">
        <v>0</v>
      </c>
      <c r="AC37" s="66">
        <v>0</v>
      </c>
      <c r="AD37" s="66">
        <v>0</v>
      </c>
      <c r="AE37" s="66">
        <v>0</v>
      </c>
      <c r="AF37" s="66">
        <v>0</v>
      </c>
      <c r="AG37" s="66">
        <v>0</v>
      </c>
      <c r="AH37" s="66">
        <v>0</v>
      </c>
      <c r="AI37" s="66">
        <v>0</v>
      </c>
      <c r="AJ37" s="66">
        <v>0</v>
      </c>
      <c r="AK37" s="66">
        <v>0</v>
      </c>
      <c r="AL37" s="66">
        <v>0</v>
      </c>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row>
    <row r="38" spans="1:187" ht="15.75" customHeight="1" x14ac:dyDescent="0.2">
      <c r="A38" s="50" t="s">
        <v>214</v>
      </c>
      <c r="B38" s="3"/>
      <c r="C38" s="66">
        <v>0</v>
      </c>
      <c r="D38" s="66">
        <v>0</v>
      </c>
      <c r="E38" s="66">
        <v>0</v>
      </c>
      <c r="F38" s="66">
        <v>0</v>
      </c>
      <c r="G38" s="66">
        <v>0</v>
      </c>
      <c r="H38" s="66">
        <v>0</v>
      </c>
      <c r="I38" s="66">
        <v>0</v>
      </c>
      <c r="J38" s="66">
        <v>0</v>
      </c>
      <c r="K38" s="66">
        <v>0</v>
      </c>
      <c r="L38" s="66">
        <v>0</v>
      </c>
      <c r="M38" s="66">
        <v>0</v>
      </c>
      <c r="N38" s="66">
        <v>0</v>
      </c>
      <c r="O38" s="66">
        <v>0</v>
      </c>
      <c r="P38" s="66">
        <v>0</v>
      </c>
      <c r="Q38" s="66">
        <v>0</v>
      </c>
      <c r="R38" s="66">
        <v>0</v>
      </c>
      <c r="S38" s="66">
        <v>0</v>
      </c>
      <c r="T38" s="66">
        <v>0</v>
      </c>
      <c r="U38" s="66">
        <v>0</v>
      </c>
      <c r="V38" s="66">
        <v>0</v>
      </c>
      <c r="W38" s="66">
        <v>0</v>
      </c>
      <c r="X38" s="66">
        <v>0</v>
      </c>
      <c r="Y38" s="66">
        <v>0</v>
      </c>
      <c r="Z38" s="66">
        <v>0</v>
      </c>
      <c r="AA38" s="66">
        <v>0</v>
      </c>
      <c r="AB38" s="66">
        <v>0</v>
      </c>
      <c r="AC38" s="66">
        <v>0</v>
      </c>
      <c r="AD38" s="66">
        <v>0</v>
      </c>
      <c r="AE38" s="66">
        <v>0</v>
      </c>
      <c r="AF38" s="66">
        <v>0</v>
      </c>
      <c r="AG38" s="66">
        <v>0</v>
      </c>
      <c r="AH38" s="66">
        <v>0</v>
      </c>
      <c r="AI38" s="66">
        <v>0</v>
      </c>
      <c r="AJ38" s="66">
        <v>0</v>
      </c>
      <c r="AK38" s="66">
        <v>0</v>
      </c>
      <c r="AL38" s="66">
        <v>0</v>
      </c>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row>
    <row r="39" spans="1:187" ht="15.75" customHeight="1" x14ac:dyDescent="0.2">
      <c r="A39" s="50" t="s">
        <v>215</v>
      </c>
      <c r="B39" s="3"/>
      <c r="C39" s="66">
        <v>0</v>
      </c>
      <c r="D39" s="66">
        <v>0</v>
      </c>
      <c r="E39" s="66">
        <v>0</v>
      </c>
      <c r="F39" s="66">
        <v>0</v>
      </c>
      <c r="G39" s="66">
        <v>0</v>
      </c>
      <c r="H39" s="66">
        <v>0</v>
      </c>
      <c r="I39" s="66">
        <v>0</v>
      </c>
      <c r="J39" s="66">
        <v>0</v>
      </c>
      <c r="K39" s="66">
        <v>0</v>
      </c>
      <c r="L39" s="66">
        <v>0</v>
      </c>
      <c r="M39" s="66">
        <v>0</v>
      </c>
      <c r="N39" s="66">
        <v>0</v>
      </c>
      <c r="O39" s="66">
        <v>0</v>
      </c>
      <c r="P39" s="66">
        <v>0</v>
      </c>
      <c r="Q39" s="66">
        <v>0</v>
      </c>
      <c r="R39" s="66">
        <v>0</v>
      </c>
      <c r="S39" s="66">
        <v>0</v>
      </c>
      <c r="T39" s="66">
        <v>0</v>
      </c>
      <c r="U39" s="66">
        <v>0</v>
      </c>
      <c r="V39" s="66">
        <v>0</v>
      </c>
      <c r="W39" s="66">
        <v>0</v>
      </c>
      <c r="X39" s="66">
        <v>0</v>
      </c>
      <c r="Y39" s="66">
        <v>0</v>
      </c>
      <c r="Z39" s="66">
        <v>0</v>
      </c>
      <c r="AA39" s="66">
        <v>0</v>
      </c>
      <c r="AB39" s="66">
        <v>0</v>
      </c>
      <c r="AC39" s="66">
        <v>0</v>
      </c>
      <c r="AD39" s="66">
        <v>0</v>
      </c>
      <c r="AE39" s="66">
        <v>0</v>
      </c>
      <c r="AF39" s="66">
        <v>0</v>
      </c>
      <c r="AG39" s="66">
        <v>0</v>
      </c>
      <c r="AH39" s="66">
        <v>0</v>
      </c>
      <c r="AI39" s="66">
        <v>0</v>
      </c>
      <c r="AJ39" s="66">
        <v>0</v>
      </c>
      <c r="AK39" s="66">
        <v>0</v>
      </c>
      <c r="AL39" s="66">
        <v>0</v>
      </c>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row>
    <row r="40" spans="1:187" ht="15.75" customHeight="1" x14ac:dyDescent="0.2">
      <c r="A40" s="50" t="s">
        <v>216</v>
      </c>
      <c r="B40" s="3"/>
      <c r="C40" s="66">
        <v>0</v>
      </c>
      <c r="D40" s="66">
        <v>0</v>
      </c>
      <c r="E40" s="66">
        <v>0</v>
      </c>
      <c r="F40" s="66">
        <v>0</v>
      </c>
      <c r="G40" s="66">
        <v>0</v>
      </c>
      <c r="H40" s="66">
        <v>0</v>
      </c>
      <c r="I40" s="66">
        <v>0</v>
      </c>
      <c r="J40" s="66">
        <v>0</v>
      </c>
      <c r="K40" s="66">
        <v>0</v>
      </c>
      <c r="L40" s="66">
        <v>0</v>
      </c>
      <c r="M40" s="66">
        <v>0</v>
      </c>
      <c r="N40" s="66">
        <v>0</v>
      </c>
      <c r="O40" s="66">
        <v>0</v>
      </c>
      <c r="P40" s="66">
        <v>0</v>
      </c>
      <c r="Q40" s="66">
        <v>0</v>
      </c>
      <c r="R40" s="66">
        <v>0</v>
      </c>
      <c r="S40" s="66">
        <v>0</v>
      </c>
      <c r="T40" s="66">
        <v>0</v>
      </c>
      <c r="U40" s="66">
        <v>0</v>
      </c>
      <c r="V40" s="66">
        <v>0</v>
      </c>
      <c r="W40" s="66">
        <v>0</v>
      </c>
      <c r="X40" s="66">
        <v>0</v>
      </c>
      <c r="Y40" s="66">
        <v>0</v>
      </c>
      <c r="Z40" s="66">
        <v>0</v>
      </c>
      <c r="AA40" s="66">
        <v>0</v>
      </c>
      <c r="AB40" s="66">
        <v>0</v>
      </c>
      <c r="AC40" s="66">
        <v>0</v>
      </c>
      <c r="AD40" s="66">
        <v>0</v>
      </c>
      <c r="AE40" s="66">
        <v>0</v>
      </c>
      <c r="AF40" s="66">
        <v>0</v>
      </c>
      <c r="AG40" s="66">
        <v>0</v>
      </c>
      <c r="AH40" s="66">
        <v>0</v>
      </c>
      <c r="AI40" s="66">
        <v>0</v>
      </c>
      <c r="AJ40" s="66">
        <v>0</v>
      </c>
      <c r="AK40" s="66">
        <v>0</v>
      </c>
      <c r="AL40" s="66">
        <v>0</v>
      </c>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row>
    <row r="41" spans="1:187" ht="15.75" customHeight="1" x14ac:dyDescent="0.2">
      <c r="A41" s="50" t="s">
        <v>217</v>
      </c>
      <c r="B41" s="3"/>
      <c r="C41" s="66">
        <v>0</v>
      </c>
      <c r="D41" s="66">
        <v>0</v>
      </c>
      <c r="E41" s="66">
        <v>0</v>
      </c>
      <c r="F41" s="66">
        <v>0</v>
      </c>
      <c r="G41" s="66">
        <v>0</v>
      </c>
      <c r="H41" s="66">
        <v>0</v>
      </c>
      <c r="I41" s="66">
        <v>0</v>
      </c>
      <c r="J41" s="66">
        <v>0</v>
      </c>
      <c r="K41" s="66">
        <v>0</v>
      </c>
      <c r="L41" s="66">
        <v>0</v>
      </c>
      <c r="M41" s="66">
        <v>0</v>
      </c>
      <c r="N41" s="66">
        <v>0</v>
      </c>
      <c r="O41" s="66">
        <v>0</v>
      </c>
      <c r="P41" s="66">
        <v>0</v>
      </c>
      <c r="Q41" s="66">
        <v>0</v>
      </c>
      <c r="R41" s="66">
        <v>0</v>
      </c>
      <c r="S41" s="66">
        <v>0</v>
      </c>
      <c r="T41" s="66">
        <v>0</v>
      </c>
      <c r="U41" s="66">
        <v>0</v>
      </c>
      <c r="V41" s="66">
        <v>0</v>
      </c>
      <c r="W41" s="66">
        <v>0</v>
      </c>
      <c r="X41" s="66">
        <v>0</v>
      </c>
      <c r="Y41" s="66">
        <v>0</v>
      </c>
      <c r="Z41" s="66">
        <v>0</v>
      </c>
      <c r="AA41" s="66">
        <v>0</v>
      </c>
      <c r="AB41" s="66">
        <v>0</v>
      </c>
      <c r="AC41" s="66">
        <v>0</v>
      </c>
      <c r="AD41" s="66">
        <v>0</v>
      </c>
      <c r="AE41" s="66">
        <v>0</v>
      </c>
      <c r="AF41" s="66">
        <v>0</v>
      </c>
      <c r="AG41" s="66">
        <v>0</v>
      </c>
      <c r="AH41" s="66">
        <v>0</v>
      </c>
      <c r="AI41" s="66">
        <v>0</v>
      </c>
      <c r="AJ41" s="66">
        <v>0</v>
      </c>
      <c r="AK41" s="66">
        <v>0</v>
      </c>
      <c r="AL41" s="66">
        <v>0</v>
      </c>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row>
    <row r="42" spans="1:187" ht="15.75" customHeight="1" x14ac:dyDescent="0.2">
      <c r="A42" s="50" t="s">
        <v>218</v>
      </c>
      <c r="B42" s="3"/>
      <c r="C42" s="66">
        <v>0</v>
      </c>
      <c r="D42" s="66">
        <v>0</v>
      </c>
      <c r="E42" s="66">
        <v>0</v>
      </c>
      <c r="F42" s="66">
        <v>0</v>
      </c>
      <c r="G42" s="66">
        <v>0</v>
      </c>
      <c r="H42" s="66">
        <v>0</v>
      </c>
      <c r="I42" s="66">
        <v>0</v>
      </c>
      <c r="J42" s="66">
        <v>0</v>
      </c>
      <c r="K42" s="66">
        <v>0</v>
      </c>
      <c r="L42" s="66">
        <v>0</v>
      </c>
      <c r="M42" s="66">
        <v>0</v>
      </c>
      <c r="N42" s="66">
        <v>0</v>
      </c>
      <c r="O42" s="66">
        <v>0</v>
      </c>
      <c r="P42" s="66">
        <v>0</v>
      </c>
      <c r="Q42" s="66">
        <v>0</v>
      </c>
      <c r="R42" s="66">
        <v>0</v>
      </c>
      <c r="S42" s="66">
        <v>0</v>
      </c>
      <c r="T42" s="66">
        <v>0</v>
      </c>
      <c r="U42" s="66">
        <v>0</v>
      </c>
      <c r="V42" s="66">
        <v>0</v>
      </c>
      <c r="W42" s="66">
        <v>0</v>
      </c>
      <c r="X42" s="66">
        <v>0</v>
      </c>
      <c r="Y42" s="66">
        <v>0</v>
      </c>
      <c r="Z42" s="66">
        <v>0</v>
      </c>
      <c r="AA42" s="66">
        <v>0</v>
      </c>
      <c r="AB42" s="66">
        <v>0</v>
      </c>
      <c r="AC42" s="66">
        <v>0</v>
      </c>
      <c r="AD42" s="66">
        <v>0</v>
      </c>
      <c r="AE42" s="66">
        <v>0</v>
      </c>
      <c r="AF42" s="66">
        <v>0</v>
      </c>
      <c r="AG42" s="66">
        <v>0</v>
      </c>
      <c r="AH42" s="66">
        <v>0</v>
      </c>
      <c r="AI42" s="66">
        <v>0</v>
      </c>
      <c r="AJ42" s="66">
        <v>0</v>
      </c>
      <c r="AK42" s="66">
        <v>0</v>
      </c>
      <c r="AL42" s="66">
        <v>0</v>
      </c>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row>
    <row r="43" spans="1:187" ht="15.75" customHeight="1" x14ac:dyDescent="0.2">
      <c r="A43" s="50" t="s">
        <v>219</v>
      </c>
      <c r="B43" s="3"/>
      <c r="C43" s="66">
        <v>0</v>
      </c>
      <c r="D43" s="66">
        <v>0</v>
      </c>
      <c r="E43" s="66">
        <v>0</v>
      </c>
      <c r="F43" s="66">
        <v>0</v>
      </c>
      <c r="G43" s="66">
        <v>0</v>
      </c>
      <c r="H43" s="66">
        <v>0</v>
      </c>
      <c r="I43" s="66">
        <v>0</v>
      </c>
      <c r="J43" s="66">
        <v>0</v>
      </c>
      <c r="K43" s="66">
        <v>0</v>
      </c>
      <c r="L43" s="66">
        <v>0</v>
      </c>
      <c r="M43" s="66">
        <v>0</v>
      </c>
      <c r="N43" s="66">
        <v>0</v>
      </c>
      <c r="O43" s="66">
        <v>0</v>
      </c>
      <c r="P43" s="66">
        <v>0</v>
      </c>
      <c r="Q43" s="66">
        <v>0</v>
      </c>
      <c r="R43" s="66">
        <v>0</v>
      </c>
      <c r="S43" s="66">
        <v>0</v>
      </c>
      <c r="T43" s="66">
        <v>0</v>
      </c>
      <c r="U43" s="66">
        <v>0</v>
      </c>
      <c r="V43" s="66">
        <v>0</v>
      </c>
      <c r="W43" s="66">
        <v>0</v>
      </c>
      <c r="X43" s="66">
        <v>0</v>
      </c>
      <c r="Y43" s="66">
        <v>0</v>
      </c>
      <c r="Z43" s="66">
        <v>0</v>
      </c>
      <c r="AA43" s="66">
        <v>0</v>
      </c>
      <c r="AB43" s="66">
        <v>0</v>
      </c>
      <c r="AC43" s="66">
        <v>0</v>
      </c>
      <c r="AD43" s="66">
        <v>0</v>
      </c>
      <c r="AE43" s="66">
        <v>0</v>
      </c>
      <c r="AF43" s="66">
        <v>0</v>
      </c>
      <c r="AG43" s="66">
        <v>0</v>
      </c>
      <c r="AH43" s="66">
        <v>0</v>
      </c>
      <c r="AI43" s="66">
        <v>0</v>
      </c>
      <c r="AJ43" s="66">
        <v>0</v>
      </c>
      <c r="AK43" s="66">
        <v>0</v>
      </c>
      <c r="AL43" s="66">
        <v>0</v>
      </c>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row>
    <row r="44" spans="1:187" ht="15.75" customHeight="1" x14ac:dyDescent="0.2">
      <c r="A44" s="16" t="s">
        <v>201</v>
      </c>
      <c r="B44" s="3"/>
      <c r="C44" s="17" t="s">
        <v>62</v>
      </c>
      <c r="D44" s="17" t="s">
        <v>63</v>
      </c>
      <c r="E44" s="17" t="s">
        <v>64</v>
      </c>
      <c r="F44" s="17" t="s">
        <v>65</v>
      </c>
      <c r="G44" s="17" t="s">
        <v>62</v>
      </c>
      <c r="H44" s="17" t="s">
        <v>63</v>
      </c>
      <c r="I44" s="17" t="s">
        <v>64</v>
      </c>
      <c r="J44" s="17" t="s">
        <v>65</v>
      </c>
      <c r="K44" s="17" t="s">
        <v>62</v>
      </c>
      <c r="L44" s="17" t="s">
        <v>63</v>
      </c>
      <c r="M44" s="17" t="s">
        <v>64</v>
      </c>
      <c r="N44" s="17" t="s">
        <v>65</v>
      </c>
      <c r="O44" s="17" t="s">
        <v>62</v>
      </c>
      <c r="P44" s="17" t="s">
        <v>63</v>
      </c>
      <c r="Q44" s="17" t="s">
        <v>64</v>
      </c>
      <c r="R44" s="17" t="s">
        <v>65</v>
      </c>
      <c r="S44" s="17" t="s">
        <v>62</v>
      </c>
      <c r="T44" s="17" t="s">
        <v>63</v>
      </c>
      <c r="U44" s="17" t="s">
        <v>64</v>
      </c>
      <c r="V44" s="17" t="s">
        <v>65</v>
      </c>
      <c r="W44" s="17" t="s">
        <v>62</v>
      </c>
      <c r="X44" s="17" t="s">
        <v>63</v>
      </c>
      <c r="Y44" s="17" t="s">
        <v>64</v>
      </c>
      <c r="Z44" s="17" t="s">
        <v>65</v>
      </c>
      <c r="AA44" s="17" t="s">
        <v>62</v>
      </c>
      <c r="AB44" s="17" t="s">
        <v>63</v>
      </c>
      <c r="AC44" s="17" t="s">
        <v>64</v>
      </c>
      <c r="AD44" s="17" t="s">
        <v>65</v>
      </c>
      <c r="AE44" s="17" t="s">
        <v>62</v>
      </c>
      <c r="AF44" s="17" t="s">
        <v>63</v>
      </c>
      <c r="AG44" s="17" t="s">
        <v>64</v>
      </c>
      <c r="AH44" s="17" t="s">
        <v>65</v>
      </c>
      <c r="AI44" s="17" t="s">
        <v>62</v>
      </c>
      <c r="AJ44" s="17" t="s">
        <v>63</v>
      </c>
      <c r="AK44" s="17" t="s">
        <v>64</v>
      </c>
      <c r="AL44" s="17" t="s">
        <v>65</v>
      </c>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c r="GC44" s="3"/>
      <c r="GD44" s="3"/>
      <c r="GE44" s="3"/>
    </row>
    <row r="45" spans="1:187" ht="15.75" customHeight="1" x14ac:dyDescent="0.2">
      <c r="A45" s="16" t="s">
        <v>373</v>
      </c>
      <c r="B45" s="3"/>
      <c r="C45" s="17" t="s">
        <v>385</v>
      </c>
      <c r="D45" s="17" t="s">
        <v>386</v>
      </c>
      <c r="E45" s="17" t="s">
        <v>387</v>
      </c>
      <c r="F45" s="17" t="s">
        <v>388</v>
      </c>
      <c r="G45" s="17" t="s">
        <v>66</v>
      </c>
      <c r="H45" s="17" t="s">
        <v>67</v>
      </c>
      <c r="I45" s="17" t="s">
        <v>68</v>
      </c>
      <c r="J45" s="17" t="s">
        <v>69</v>
      </c>
      <c r="K45" s="17" t="s">
        <v>70</v>
      </c>
      <c r="L45" s="17" t="s">
        <v>71</v>
      </c>
      <c r="M45" s="17" t="s">
        <v>72</v>
      </c>
      <c r="N45" s="17" t="s">
        <v>73</v>
      </c>
      <c r="O45" s="17" t="s">
        <v>74</v>
      </c>
      <c r="P45" s="17" t="s">
        <v>75</v>
      </c>
      <c r="Q45" s="17" t="s">
        <v>76</v>
      </c>
      <c r="R45" s="17" t="s">
        <v>77</v>
      </c>
      <c r="S45" s="58" t="s">
        <v>321</v>
      </c>
      <c r="T45" s="17" t="s">
        <v>322</v>
      </c>
      <c r="U45" s="17" t="s">
        <v>323</v>
      </c>
      <c r="V45" s="17" t="s">
        <v>324</v>
      </c>
      <c r="W45" s="58" t="s">
        <v>325</v>
      </c>
      <c r="X45" s="17" t="s">
        <v>326</v>
      </c>
      <c r="Y45" s="17" t="s">
        <v>327</v>
      </c>
      <c r="Z45" s="17" t="s">
        <v>328</v>
      </c>
      <c r="AA45" s="17" t="s">
        <v>329</v>
      </c>
      <c r="AB45" s="17" t="s">
        <v>330</v>
      </c>
      <c r="AC45" s="17" t="s">
        <v>331</v>
      </c>
      <c r="AD45" s="17" t="s">
        <v>332</v>
      </c>
      <c r="AE45" s="17" t="s">
        <v>333</v>
      </c>
      <c r="AF45" s="17" t="s">
        <v>334</v>
      </c>
      <c r="AG45" s="17" t="s">
        <v>335</v>
      </c>
      <c r="AH45" s="17" t="s">
        <v>336</v>
      </c>
      <c r="AI45" s="17" t="s">
        <v>337</v>
      </c>
      <c r="AJ45" s="17" t="s">
        <v>338</v>
      </c>
      <c r="AK45" s="17" t="s">
        <v>339</v>
      </c>
      <c r="AL45" s="17" t="s">
        <v>340</v>
      </c>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c r="FZ45" s="3"/>
      <c r="GA45" s="3"/>
      <c r="GB45" s="3"/>
      <c r="GC45" s="3"/>
      <c r="GD45" s="3"/>
      <c r="GE45" s="3"/>
    </row>
    <row r="46" spans="1:187" ht="15.75" customHeight="1" x14ac:dyDescent="0.2">
      <c r="A46" s="50" t="s">
        <v>203</v>
      </c>
      <c r="B46" s="3"/>
      <c r="C46" s="66">
        <f>SUM('13 AGE &amp; GENDER'!C7:C18)</f>
        <v>0</v>
      </c>
      <c r="D46" s="66">
        <f>SUM('13 AGE &amp; GENDER'!H7:H18)</f>
        <v>0</v>
      </c>
      <c r="E46" s="66">
        <f>SUM('13 AGE &amp; GENDER'!M7:M18)</f>
        <v>0</v>
      </c>
      <c r="F46" s="66">
        <f>SUM('13 AGE &amp; GENDER'!R7:R18)</f>
        <v>0</v>
      </c>
      <c r="G46" s="66">
        <f>SUM('13 AGE &amp; GENDER'!W7:W18)</f>
        <v>0</v>
      </c>
      <c r="H46" s="66">
        <f>SUM('13 AGE &amp; GENDER'!AB7:AB18)</f>
        <v>0</v>
      </c>
      <c r="I46" s="66">
        <f>SUM('13 AGE &amp; GENDER'!AG7:AG18)</f>
        <v>0</v>
      </c>
      <c r="J46" s="66">
        <f>SUM('13 AGE &amp; GENDER'!AL7:AL18)</f>
        <v>0</v>
      </c>
      <c r="K46" s="66">
        <f>SUM('13 AGE &amp; GENDER'!AQ7:AQ18)</f>
        <v>0</v>
      </c>
      <c r="L46" s="66">
        <f>SUM('13 AGE &amp; GENDER'!AV7:AV18)</f>
        <v>0</v>
      </c>
      <c r="M46" s="66">
        <f>SUM('13 AGE &amp; GENDER'!BA7:BA18)</f>
        <v>0</v>
      </c>
      <c r="N46" s="66">
        <f>SUM('13 AGE &amp; GENDER'!BF7:BF18)</f>
        <v>0</v>
      </c>
      <c r="O46" s="66">
        <f>SUM('13 AGE &amp; GENDER'!BK7:BK18)</f>
        <v>0</v>
      </c>
      <c r="P46" s="66">
        <f>SUM('13 AGE &amp; GENDER'!BP7:BP18)</f>
        <v>0</v>
      </c>
      <c r="Q46" s="66">
        <f>SUM('13 AGE &amp; GENDER'!BU7:BU18)</f>
        <v>0</v>
      </c>
      <c r="R46" s="66">
        <f>SUM('13 AGE &amp; GENDER'!BZ7:BZ18)</f>
        <v>0</v>
      </c>
      <c r="S46" s="66">
        <f>SUM('13 AGE &amp; GENDER'!CE7:CE18)</f>
        <v>0</v>
      </c>
      <c r="T46" s="66">
        <f>SUM('13 AGE &amp; GENDER'!CJ7:CJ18)</f>
        <v>0</v>
      </c>
      <c r="U46" s="66">
        <f>SUM('13 AGE &amp; GENDER'!CO7:CO18)</f>
        <v>0</v>
      </c>
      <c r="V46" s="66">
        <f>SUM('13 AGE &amp; GENDER'!CT7:CT18)</f>
        <v>0</v>
      </c>
      <c r="W46" s="66">
        <f>SUM('13 AGE &amp; GENDER'!CY7:CY18)</f>
        <v>0</v>
      </c>
      <c r="X46" s="66">
        <f>SUM('13 AGE &amp; GENDER'!DD7:DD18)</f>
        <v>0</v>
      </c>
      <c r="Y46" s="66">
        <f>SUM('13 AGE &amp; GENDER'!DI7:DI18)</f>
        <v>0</v>
      </c>
      <c r="Z46" s="66">
        <f>SUM('13 AGE &amp; GENDER'!DN7:DN18)</f>
        <v>0</v>
      </c>
      <c r="AA46" s="66">
        <f>SUM('13 AGE &amp; GENDER'!DS7:DS18)</f>
        <v>0</v>
      </c>
      <c r="AB46" s="66">
        <f>SUM('13 AGE &amp; GENDER'!DX7:DX18)</f>
        <v>0</v>
      </c>
      <c r="AC46" s="66">
        <f>SUM('13 AGE &amp; GENDER'!EC7:EC18)</f>
        <v>0</v>
      </c>
      <c r="AD46" s="66">
        <f>SUM('13 AGE &amp; GENDER'!EH7:EH18)</f>
        <v>0</v>
      </c>
      <c r="AE46" s="66">
        <f>SUM('13 AGE &amp; GENDER'!EM7:EM18)</f>
        <v>0</v>
      </c>
      <c r="AF46" s="66">
        <f>SUM('13 AGE &amp; GENDER'!ER7:ER18)</f>
        <v>0</v>
      </c>
      <c r="AG46" s="66">
        <f>SUM('13 AGE &amp; GENDER'!EW7:EW18)</f>
        <v>0</v>
      </c>
      <c r="AH46" s="66">
        <f>SUM('13 AGE &amp; GENDER'!FB7:FB18)</f>
        <v>0</v>
      </c>
      <c r="AI46" s="66">
        <f>SUM('13 AGE &amp; GENDER'!FG7:FG18)</f>
        <v>0</v>
      </c>
      <c r="AJ46" s="66">
        <f>SUM('13 AGE &amp; GENDER'!FL7:FL18)</f>
        <v>0</v>
      </c>
      <c r="AK46" s="66">
        <f>SUM('13 AGE &amp; GENDER'!FQ7:FQ18)</f>
        <v>0</v>
      </c>
      <c r="AL46" s="66">
        <f>SUM('13 AGE &amp; GENDER'!FV7:FV18)</f>
        <v>0</v>
      </c>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c r="GE46" s="3"/>
    </row>
    <row r="47" spans="1:187" ht="15.75" customHeight="1" x14ac:dyDescent="0.2">
      <c r="A47" s="50" t="s">
        <v>204</v>
      </c>
      <c r="B47" s="3"/>
      <c r="C47" s="66">
        <f>SUM('13 AGE &amp; GENDER'!D7:D18)</f>
        <v>0</v>
      </c>
      <c r="D47" s="66">
        <f>SUM('13 AGE &amp; GENDER'!I7:I18)</f>
        <v>0</v>
      </c>
      <c r="E47" s="66">
        <f>SUM('13 AGE &amp; GENDER'!N7:N18)</f>
        <v>0</v>
      </c>
      <c r="F47" s="66">
        <f>SUM('13 AGE &amp; GENDER'!S7:S18)</f>
        <v>0</v>
      </c>
      <c r="G47" s="66">
        <f>SUM('13 AGE &amp; GENDER'!X7:X18)</f>
        <v>0</v>
      </c>
      <c r="H47" s="66">
        <f>SUM('13 AGE &amp; GENDER'!AC7:AC18)</f>
        <v>0</v>
      </c>
      <c r="I47" s="66">
        <f>SUM('13 AGE &amp; GENDER'!AH7:AH18)</f>
        <v>0</v>
      </c>
      <c r="J47" s="66">
        <f>SUM('13 AGE &amp; GENDER'!AM7:AM18)</f>
        <v>0</v>
      </c>
      <c r="K47" s="66">
        <f>SUM('13 AGE &amp; GENDER'!AR7:AR18)</f>
        <v>0</v>
      </c>
      <c r="L47" s="66">
        <f>SUM('13 AGE &amp; GENDER'!AW7:AW18)</f>
        <v>0</v>
      </c>
      <c r="M47" s="66">
        <f>SUM('13 AGE &amp; GENDER'!BB7:BB18)</f>
        <v>0</v>
      </c>
      <c r="N47" s="66">
        <f>SUM('13 AGE &amp; GENDER'!BG7:BG18)</f>
        <v>0</v>
      </c>
      <c r="O47" s="66">
        <f>SUM('13 AGE &amp; GENDER'!BL7:BL18)</f>
        <v>0</v>
      </c>
      <c r="P47" s="66">
        <f>SUM('13 AGE &amp; GENDER'!BQ7:BQ18)</f>
        <v>0</v>
      </c>
      <c r="Q47" s="66">
        <f>SUM('13 AGE &amp; GENDER'!BV7:BV18)</f>
        <v>0</v>
      </c>
      <c r="R47" s="66">
        <f>SUM('13 AGE &amp; GENDER'!CA7:CA18)</f>
        <v>0</v>
      </c>
      <c r="S47" s="66">
        <f>SUM('13 AGE &amp; GENDER'!CF7:CF18)</f>
        <v>0</v>
      </c>
      <c r="T47" s="66">
        <f>SUM('13 AGE &amp; GENDER'!CK7:CK18)</f>
        <v>0</v>
      </c>
      <c r="U47" s="66">
        <f>SUM('13 AGE &amp; GENDER'!CP7:CP18)</f>
        <v>0</v>
      </c>
      <c r="V47" s="66">
        <f>SUM('13 AGE &amp; GENDER'!CU7:CU18)</f>
        <v>0</v>
      </c>
      <c r="W47" s="66">
        <f>SUM('13 AGE &amp; GENDER'!CZ7:CZ18)</f>
        <v>0</v>
      </c>
      <c r="X47" s="66">
        <f>SUM('13 AGE &amp; GENDER'!DE7:DE18)</f>
        <v>0</v>
      </c>
      <c r="Y47" s="66">
        <f>SUM('13 AGE &amp; GENDER'!DJ7:DJ18)</f>
        <v>0</v>
      </c>
      <c r="Z47" s="66">
        <f>SUM('13 AGE &amp; GENDER'!DO7:DO18)</f>
        <v>0</v>
      </c>
      <c r="AA47" s="66">
        <f>SUM('13 AGE &amp; GENDER'!DT7:DT18)</f>
        <v>0</v>
      </c>
      <c r="AB47" s="66">
        <f>SUM('13 AGE &amp; GENDER'!DY7:DY18)</f>
        <v>0</v>
      </c>
      <c r="AC47" s="66">
        <f>SUM('13 AGE &amp; GENDER'!ED7:ED18)</f>
        <v>0</v>
      </c>
      <c r="AD47" s="66">
        <f>SUM('13 AGE &amp; GENDER'!EI7:EI18)</f>
        <v>0</v>
      </c>
      <c r="AE47" s="66">
        <f>SUM('13 AGE &amp; GENDER'!EN7:EN18)</f>
        <v>0</v>
      </c>
      <c r="AF47" s="66">
        <f>SUM('13 AGE &amp; GENDER'!ES7:ES18)</f>
        <v>0</v>
      </c>
      <c r="AG47" s="66">
        <f>SUM('13 AGE &amp; GENDER'!EX7:EX18)</f>
        <v>0</v>
      </c>
      <c r="AH47" s="66">
        <f>SUM('13 AGE &amp; GENDER'!FC7:FC18)</f>
        <v>0</v>
      </c>
      <c r="AI47" s="66">
        <f>SUM('13 AGE &amp; GENDER'!FH7:FH18)</f>
        <v>0</v>
      </c>
      <c r="AJ47" s="66">
        <f>SUM('13 AGE &amp; GENDER'!FM7:FM18)</f>
        <v>0</v>
      </c>
      <c r="AK47" s="66">
        <f>SUM('13 AGE &amp; GENDER'!FR7:FR18)</f>
        <v>0</v>
      </c>
      <c r="AL47" s="66">
        <f>SUM('13 AGE &amp; GENDER'!FW7:FW18)</f>
        <v>0</v>
      </c>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c r="FZ47" s="3"/>
      <c r="GA47" s="3"/>
      <c r="GB47" s="3"/>
      <c r="GC47" s="3"/>
      <c r="GD47" s="3"/>
      <c r="GE47" s="3"/>
    </row>
    <row r="48" spans="1:187" ht="15.75" customHeight="1" x14ac:dyDescent="0.2">
      <c r="A48" s="50" t="s">
        <v>205</v>
      </c>
      <c r="B48" s="3"/>
      <c r="C48" s="66">
        <f>SUM('13 AGE &amp; GENDER'!E7:E18)</f>
        <v>0</v>
      </c>
      <c r="D48" s="66">
        <f>SUM('13 AGE &amp; GENDER'!J7:J18)</f>
        <v>0</v>
      </c>
      <c r="E48" s="66">
        <f>SUM('13 AGE &amp; GENDER'!O7:O18)</f>
        <v>0</v>
      </c>
      <c r="F48" s="66">
        <f>SUM('13 AGE &amp; GENDER'!T7:T18)</f>
        <v>0</v>
      </c>
      <c r="G48" s="66">
        <f>SUM('13 AGE &amp; GENDER'!Y7:Y18)</f>
        <v>0</v>
      </c>
      <c r="H48" s="66">
        <f>SUM('13 AGE &amp; GENDER'!AD7:AD18)</f>
        <v>0</v>
      </c>
      <c r="I48" s="66">
        <f>SUM('13 AGE &amp; GENDER'!AI7:AI18)</f>
        <v>0</v>
      </c>
      <c r="J48" s="66">
        <f>SUM('13 AGE &amp; GENDER'!AN7:AN18)</f>
        <v>0</v>
      </c>
      <c r="K48" s="66">
        <f>SUM('13 AGE &amp; GENDER'!AS7:AS18)</f>
        <v>0</v>
      </c>
      <c r="L48" s="66">
        <f>SUM('13 AGE &amp; GENDER'!AX7:AX18)</f>
        <v>0</v>
      </c>
      <c r="M48" s="66">
        <f>SUM('13 AGE &amp; GENDER'!BC7:BC18)</f>
        <v>0</v>
      </c>
      <c r="N48" s="66">
        <f>SUM('13 AGE &amp; GENDER'!BH7:BH18)</f>
        <v>0</v>
      </c>
      <c r="O48" s="66">
        <f>SUM('13 AGE &amp; GENDER'!BM7:BM18)</f>
        <v>0</v>
      </c>
      <c r="P48" s="66">
        <f>SUM('13 AGE &amp; GENDER'!BR7:BR18)</f>
        <v>0</v>
      </c>
      <c r="Q48" s="66">
        <f>SUM('13 AGE &amp; GENDER'!BW7:BW18)</f>
        <v>0</v>
      </c>
      <c r="R48" s="66">
        <f>SUM('13 AGE &amp; GENDER'!CB7:CB18)</f>
        <v>0</v>
      </c>
      <c r="S48" s="66">
        <f>SUM('13 AGE &amp; GENDER'!CG7:CG18)</f>
        <v>0</v>
      </c>
      <c r="T48" s="66">
        <f>SUM('13 AGE &amp; GENDER'!CL7:CL18)</f>
        <v>0</v>
      </c>
      <c r="U48" s="66">
        <f>SUM('13 AGE &amp; GENDER'!CQ7:CQ18)</f>
        <v>0</v>
      </c>
      <c r="V48" s="66">
        <f>SUM('13 AGE &amp; GENDER'!CV7:CV18)</f>
        <v>0</v>
      </c>
      <c r="W48" s="66">
        <f>SUM('13 AGE &amp; GENDER'!DA7:DA18)</f>
        <v>0</v>
      </c>
      <c r="X48" s="66">
        <f>SUM('13 AGE &amp; GENDER'!DF7:DF18)</f>
        <v>0</v>
      </c>
      <c r="Y48" s="66">
        <f>SUM('13 AGE &amp; GENDER'!DK7:DK18)</f>
        <v>0</v>
      </c>
      <c r="Z48" s="66">
        <f>SUM('13 AGE &amp; GENDER'!DP7:DP18)</f>
        <v>0</v>
      </c>
      <c r="AA48" s="66">
        <f>SUM('13 AGE &amp; GENDER'!DU7:DU18)</f>
        <v>0</v>
      </c>
      <c r="AB48" s="66">
        <f>SUM('13 AGE &amp; GENDER'!DZ7:DZ18)</f>
        <v>0</v>
      </c>
      <c r="AC48" s="66">
        <f>SUM('13 AGE &amp; GENDER'!EE7:EE18)</f>
        <v>0</v>
      </c>
      <c r="AD48" s="66">
        <f>SUM('13 AGE &amp; GENDER'!EJ7:EJ18)</f>
        <v>0</v>
      </c>
      <c r="AE48" s="66">
        <f>SUM('13 AGE &amp; GENDER'!EO7:EO18)</f>
        <v>0</v>
      </c>
      <c r="AF48" s="66">
        <f>SUM('13 AGE &amp; GENDER'!ET7:ET18)</f>
        <v>0</v>
      </c>
      <c r="AG48" s="66">
        <f>SUM('13 AGE &amp; GENDER'!EY7:EY18)</f>
        <v>0</v>
      </c>
      <c r="AH48" s="66">
        <f>SUM('13 AGE &amp; GENDER'!FD7:FD18)</f>
        <v>0</v>
      </c>
      <c r="AI48" s="66">
        <f>SUM('13 AGE &amp; GENDER'!FI7:FI18)</f>
        <v>0</v>
      </c>
      <c r="AJ48" s="66">
        <f>SUM('13 AGE &amp; GENDER'!FN7:FN18)</f>
        <v>0</v>
      </c>
      <c r="AK48" s="66">
        <f>SUM('13 AGE &amp; GENDER'!FS7:FS18)</f>
        <v>0</v>
      </c>
      <c r="AL48" s="66">
        <f>SUM('13 AGE &amp; GENDER'!FX7:FX18)</f>
        <v>0</v>
      </c>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c r="FZ48" s="3"/>
      <c r="GA48" s="3"/>
      <c r="GB48" s="3"/>
      <c r="GC48" s="3"/>
      <c r="GD48" s="3"/>
      <c r="GE48" s="3"/>
    </row>
    <row r="49" spans="1:187" ht="15.75" customHeight="1" x14ac:dyDescent="0.2">
      <c r="A49" s="50" t="s">
        <v>206</v>
      </c>
      <c r="B49" s="3"/>
      <c r="C49" s="66">
        <f>SUM('13 AGE &amp; GENDER'!F7:F18)</f>
        <v>0</v>
      </c>
      <c r="D49" s="66">
        <f>SUM('13 AGE &amp; GENDER'!K7:K18)</f>
        <v>0</v>
      </c>
      <c r="E49" s="66">
        <f>SUM('13 AGE &amp; GENDER'!P7:P18)</f>
        <v>0</v>
      </c>
      <c r="F49" s="66">
        <f>SUM('13 AGE &amp; GENDER'!U7:U18)</f>
        <v>0</v>
      </c>
      <c r="G49" s="66">
        <f>SUM('13 AGE &amp; GENDER'!Z7:Z18)</f>
        <v>0</v>
      </c>
      <c r="H49" s="66">
        <f>SUM('13 AGE &amp; GENDER'!AE7:AE18)</f>
        <v>0</v>
      </c>
      <c r="I49" s="66">
        <f>SUM('13 AGE &amp; GENDER'!AJ7:AJ18)</f>
        <v>0</v>
      </c>
      <c r="J49" s="66">
        <f>SUM('13 AGE &amp; GENDER'!AO7:AO18)</f>
        <v>0</v>
      </c>
      <c r="K49" s="66">
        <f>SUM('13 AGE &amp; GENDER'!AT7:AT18)</f>
        <v>0</v>
      </c>
      <c r="L49" s="66">
        <f>SUM('13 AGE &amp; GENDER'!AY7:AY18)</f>
        <v>0</v>
      </c>
      <c r="M49" s="66">
        <f>SUM('13 AGE &amp; GENDER'!BD7:BD18)</f>
        <v>0</v>
      </c>
      <c r="N49" s="66">
        <f>SUM('13 AGE &amp; GENDER'!BI7:BI18)</f>
        <v>0</v>
      </c>
      <c r="O49" s="66">
        <f>SUM('13 AGE &amp; GENDER'!BN7:BN18)</f>
        <v>0</v>
      </c>
      <c r="P49" s="66">
        <f>SUM('13 AGE &amp; GENDER'!BS7:BS18)</f>
        <v>0</v>
      </c>
      <c r="Q49" s="66">
        <f>SUM('13 AGE &amp; GENDER'!BX7:BX18)</f>
        <v>0</v>
      </c>
      <c r="R49" s="66">
        <f>SUM('13 AGE &amp; GENDER'!CC7:CC18)</f>
        <v>0</v>
      </c>
      <c r="S49" s="66">
        <f>SUM('13 AGE &amp; GENDER'!CH7:CH18)</f>
        <v>0</v>
      </c>
      <c r="T49" s="66">
        <f>SUM('13 AGE &amp; GENDER'!CM7:CM18)</f>
        <v>0</v>
      </c>
      <c r="U49" s="66">
        <f>SUM('13 AGE &amp; GENDER'!CR7:CR18)</f>
        <v>0</v>
      </c>
      <c r="V49" s="66">
        <f>SUM('13 AGE &amp; GENDER'!CW7:CW18)</f>
        <v>0</v>
      </c>
      <c r="W49" s="66">
        <f>SUM('13 AGE &amp; GENDER'!DB7:DB18)</f>
        <v>0</v>
      </c>
      <c r="X49" s="66">
        <f>SUM('13 AGE &amp; GENDER'!DG7:DG18)</f>
        <v>0</v>
      </c>
      <c r="Y49" s="66">
        <f>SUM('13 AGE &amp; GENDER'!DL7:DL18)</f>
        <v>0</v>
      </c>
      <c r="Z49" s="66">
        <f>SUM('13 AGE &amp; GENDER'!DQ7:DQ18)</f>
        <v>0</v>
      </c>
      <c r="AA49" s="66">
        <f>SUM('13 AGE &amp; GENDER'!DV7:DV18)</f>
        <v>0</v>
      </c>
      <c r="AB49" s="66">
        <f>SUM('13 AGE &amp; GENDER'!EA7:EA18)</f>
        <v>0</v>
      </c>
      <c r="AC49" s="66">
        <f>SUM('13 AGE &amp; GENDER'!EF7:EF18)</f>
        <v>0</v>
      </c>
      <c r="AD49" s="66">
        <f>SUM('13 AGE &amp; GENDER'!EK7:EK18)</f>
        <v>0</v>
      </c>
      <c r="AE49" s="66">
        <f>SUM('13 AGE &amp; GENDER'!EP7:EP18)</f>
        <v>0</v>
      </c>
      <c r="AF49" s="66">
        <f>SUM('13 AGE &amp; GENDER'!EU7:EU18)</f>
        <v>0</v>
      </c>
      <c r="AG49" s="66">
        <f>SUM('13 AGE &amp; GENDER'!EZ7:EZ18)</f>
        <v>0</v>
      </c>
      <c r="AH49" s="66">
        <f>SUM('13 AGE &amp; GENDER'!FE7:FE18)</f>
        <v>0</v>
      </c>
      <c r="AI49" s="66">
        <f>SUM('13 AGE &amp; GENDER'!FJ7:FJ18)</f>
        <v>0</v>
      </c>
      <c r="AJ49" s="66">
        <f>SUM('13 AGE &amp; GENDER'!FO7:FO18)</f>
        <v>0</v>
      </c>
      <c r="AK49" s="66">
        <f>SUM('13 AGE &amp; GENDER'!FT7:FT18)</f>
        <v>0</v>
      </c>
      <c r="AL49" s="66">
        <f>SUM('13 AGE &amp; GENDER'!FY7:FY18)</f>
        <v>0</v>
      </c>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row>
    <row r="50" spans="1:187" ht="15.75" customHeight="1" x14ac:dyDescent="0.2">
      <c r="A50" s="62"/>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row>
    <row r="51" spans="1:187" ht="17.25" customHeight="1" x14ac:dyDescent="0.2">
      <c r="A51" s="15" t="s">
        <v>117</v>
      </c>
      <c r="B51" s="3"/>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row>
    <row r="52" spans="1:187" ht="15.75" customHeight="1" x14ac:dyDescent="0.2">
      <c r="A52" s="38" t="str">
        <f>A1</f>
        <v>Indicator 13</v>
      </c>
      <c r="B52" s="3"/>
      <c r="C52" s="82" t="s">
        <v>220</v>
      </c>
      <c r="D52" s="83"/>
      <c r="E52" s="83"/>
      <c r="F52" s="83"/>
      <c r="G52" s="83"/>
      <c r="H52" s="83"/>
      <c r="I52" s="83"/>
      <c r="J52" s="83"/>
      <c r="K52" s="83"/>
      <c r="L52" s="83"/>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83"/>
      <c r="AZ52" s="83"/>
      <c r="BA52" s="83"/>
      <c r="BB52" s="83"/>
      <c r="BC52" s="83"/>
      <c r="BD52" s="83"/>
      <c r="BE52" s="83"/>
      <c r="BF52" s="83"/>
      <c r="BG52" s="32"/>
      <c r="BH52" s="32"/>
      <c r="BI52" s="32"/>
      <c r="BJ52" s="32"/>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row>
    <row r="53" spans="1:187" ht="17.25" customHeight="1" x14ac:dyDescent="0.2">
      <c r="A53" s="24"/>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row>
    <row r="54" spans="1:187" ht="15.75" customHeight="1" x14ac:dyDescent="0.2">
      <c r="A54" s="15" t="s">
        <v>142</v>
      </c>
      <c r="B54" s="3"/>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row>
    <row r="55" spans="1:187" ht="15.75" customHeight="1" x14ac:dyDescent="0.2">
      <c r="A55" s="38" t="str">
        <f>A1</f>
        <v>Indicator 13</v>
      </c>
      <c r="B55" s="3"/>
      <c r="C55" s="82" t="s">
        <v>143</v>
      </c>
      <c r="D55" s="83"/>
      <c r="E55" s="83"/>
      <c r="F55" s="83"/>
      <c r="G55" s="83"/>
      <c r="H55" s="83"/>
      <c r="I55" s="83"/>
      <c r="J55" s="83"/>
      <c r="K55" s="83"/>
      <c r="L55" s="83"/>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83"/>
      <c r="AZ55" s="83"/>
      <c r="BA55" s="83"/>
      <c r="BB55" s="83"/>
      <c r="BC55" s="83"/>
      <c r="BD55" s="83"/>
      <c r="BE55" s="83"/>
      <c r="BF55" s="83"/>
      <c r="BG55" s="32"/>
      <c r="BH55" s="32"/>
      <c r="BI55" s="32"/>
      <c r="BJ55" s="32"/>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c r="GB55" s="3"/>
      <c r="GC55" s="3"/>
      <c r="GD55" s="3"/>
      <c r="GE55" s="3"/>
    </row>
    <row r="56" spans="1:187" ht="15.75" customHeight="1" x14ac:dyDescent="0.2">
      <c r="A56" s="3"/>
      <c r="B56" s="3"/>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c r="GB56" s="3"/>
      <c r="GC56" s="3"/>
      <c r="GD56" s="3"/>
      <c r="GE56" s="3"/>
    </row>
    <row r="57" spans="1:187" ht="15.75" customHeight="1" x14ac:dyDescent="0.2">
      <c r="A57" s="15" t="s">
        <v>144</v>
      </c>
      <c r="B57" s="3"/>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c r="GB57" s="3"/>
      <c r="GC57" s="3"/>
      <c r="GD57" s="3"/>
      <c r="GE57" s="3"/>
    </row>
    <row r="58" spans="1:187" ht="93" customHeight="1" x14ac:dyDescent="0.2">
      <c r="A58" s="31" t="str">
        <f>A1</f>
        <v>Indicator 13</v>
      </c>
      <c r="B58" s="3"/>
      <c r="C58" s="82" t="s">
        <v>221</v>
      </c>
      <c r="D58" s="83"/>
      <c r="E58" s="83"/>
      <c r="F58" s="83"/>
      <c r="G58" s="83"/>
      <c r="H58" s="83"/>
      <c r="I58" s="83"/>
      <c r="J58" s="83"/>
      <c r="K58" s="83"/>
      <c r="L58" s="83"/>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83"/>
      <c r="BB58" s="83"/>
      <c r="BC58" s="83"/>
      <c r="BD58" s="83"/>
      <c r="BE58" s="83"/>
      <c r="BF58" s="83"/>
      <c r="BG58" s="32"/>
      <c r="BH58" s="32"/>
      <c r="BI58" s="32"/>
      <c r="BJ58" s="32"/>
      <c r="BK58" s="36"/>
      <c r="BL58" s="36"/>
      <c r="BM58" s="36"/>
      <c r="BN58" s="36"/>
      <c r="BO58" s="36"/>
      <c r="BP58" s="36"/>
      <c r="BQ58" s="36"/>
      <c r="BR58" s="36"/>
      <c r="BS58" s="36"/>
      <c r="BT58" s="36"/>
      <c r="BU58" s="36"/>
      <c r="BV58" s="36"/>
      <c r="BW58" s="36"/>
      <c r="BX58" s="36"/>
      <c r="BY58" s="36"/>
      <c r="BZ58" s="36"/>
      <c r="CA58" s="36"/>
      <c r="CB58" s="36"/>
      <c r="CC58" s="36"/>
      <c r="CD58" s="36"/>
      <c r="CE58" s="36"/>
      <c r="CF58" s="36"/>
      <c r="CG58" s="36"/>
      <c r="CH58" s="36"/>
      <c r="CI58" s="36"/>
      <c r="CJ58" s="36"/>
      <c r="CK58" s="36"/>
      <c r="CL58" s="36"/>
      <c r="CM58" s="36"/>
      <c r="CN58" s="36"/>
      <c r="CO58" s="36"/>
      <c r="CP58" s="36"/>
      <c r="CQ58" s="36"/>
      <c r="CR58" s="36"/>
      <c r="CS58" s="36"/>
      <c r="CT58" s="36"/>
      <c r="CU58" s="36"/>
      <c r="CV58" s="36"/>
      <c r="CW58" s="36"/>
      <c r="CX58" s="36"/>
      <c r="CY58" s="36"/>
      <c r="CZ58" s="36"/>
      <c r="DA58" s="36"/>
      <c r="DB58" s="36"/>
      <c r="DC58" s="36"/>
      <c r="DD58" s="36"/>
      <c r="DE58" s="36"/>
      <c r="DF58" s="36"/>
      <c r="DG58" s="36"/>
      <c r="DH58" s="36"/>
      <c r="DI58" s="36"/>
      <c r="DJ58" s="36"/>
      <c r="DK58" s="36"/>
      <c r="DL58" s="36"/>
      <c r="DM58" s="36"/>
      <c r="DN58" s="36"/>
      <c r="DO58" s="36"/>
      <c r="DP58" s="36"/>
      <c r="DQ58" s="36"/>
      <c r="DR58" s="36"/>
      <c r="DS58" s="36"/>
      <c r="DT58" s="36"/>
      <c r="DU58" s="36"/>
      <c r="DV58" s="36"/>
      <c r="DW58" s="36"/>
      <c r="DX58" s="36"/>
      <c r="DY58" s="36"/>
      <c r="DZ58" s="36"/>
      <c r="EA58" s="36"/>
      <c r="EB58" s="36"/>
      <c r="EC58" s="36"/>
      <c r="ED58" s="36"/>
      <c r="EE58" s="36"/>
      <c r="EF58" s="36"/>
      <c r="EG58" s="36"/>
      <c r="EH58" s="36"/>
      <c r="EI58" s="36"/>
      <c r="EJ58" s="36"/>
      <c r="EK58" s="36"/>
      <c r="EL58" s="36"/>
      <c r="EM58" s="36"/>
      <c r="EN58" s="36"/>
      <c r="EO58" s="36"/>
      <c r="EP58" s="36"/>
      <c r="EQ58" s="36"/>
      <c r="ER58" s="36"/>
      <c r="ES58" s="36"/>
      <c r="ET58" s="36"/>
      <c r="EU58" s="36"/>
      <c r="EV58" s="36"/>
      <c r="EW58" s="36"/>
      <c r="EX58" s="36"/>
      <c r="EY58" s="36"/>
      <c r="EZ58" s="36"/>
      <c r="FA58" s="36"/>
      <c r="FB58" s="36"/>
      <c r="FC58" s="36"/>
      <c r="FD58" s="36"/>
      <c r="FE58" s="36"/>
      <c r="FF58" s="36"/>
      <c r="FG58" s="36"/>
      <c r="FH58" s="36"/>
      <c r="FI58" s="36"/>
      <c r="FJ58" s="36"/>
      <c r="FK58" s="36"/>
      <c r="FL58" s="36"/>
      <c r="FM58" s="36"/>
      <c r="FN58" s="36"/>
      <c r="FO58" s="36"/>
      <c r="FP58" s="36"/>
      <c r="FQ58" s="36"/>
      <c r="FR58" s="36"/>
      <c r="FS58" s="36"/>
      <c r="FT58" s="36"/>
      <c r="FU58" s="36"/>
      <c r="FV58" s="36"/>
      <c r="FW58" s="36"/>
      <c r="FX58" s="36"/>
      <c r="FY58" s="36"/>
      <c r="FZ58" s="36"/>
      <c r="GA58" s="36"/>
      <c r="GB58" s="36"/>
      <c r="GC58" s="36"/>
      <c r="GD58" s="36"/>
      <c r="GE58" s="36"/>
    </row>
    <row r="59" spans="1:187" ht="15" customHeight="1" x14ac:dyDescent="0.2">
      <c r="A59" s="3"/>
      <c r="B59" s="3"/>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c r="GE59" s="3"/>
    </row>
    <row r="60" spans="1:187"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row>
    <row r="61" spans="1:187"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c r="GE61" s="3"/>
    </row>
    <row r="62" spans="1:187"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0"/>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row>
    <row r="63" spans="1:187"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c r="GE63" s="3"/>
    </row>
    <row r="64" spans="1:187"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row>
    <row r="65" spans="1:187"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c r="GE65" s="3"/>
    </row>
    <row r="66" spans="1:187"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row>
    <row r="67" spans="1:187"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row>
    <row r="68" spans="1:187"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row>
    <row r="69" spans="1:187"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c r="FZ69" s="3"/>
      <c r="GA69" s="3"/>
      <c r="GB69" s="3"/>
      <c r="GC69" s="3"/>
      <c r="GD69" s="3"/>
      <c r="GE69" s="3"/>
    </row>
    <row r="70" spans="1:187"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c r="GB70" s="3"/>
      <c r="GC70" s="3"/>
      <c r="GD70" s="3"/>
      <c r="GE70" s="3"/>
    </row>
    <row r="71" spans="1:187" ht="15.7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c r="GB71" s="3"/>
      <c r="GC71" s="3"/>
      <c r="GD71" s="3"/>
      <c r="GE71" s="3"/>
    </row>
    <row r="72" spans="1:187" ht="15.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c r="GB72" s="3"/>
      <c r="GC72" s="3"/>
      <c r="GD72" s="3"/>
      <c r="GE72" s="3"/>
    </row>
    <row r="73" spans="1:187"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c r="GE73" s="3"/>
    </row>
    <row r="74" spans="1:187"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c r="FZ74" s="3"/>
      <c r="GA74" s="3"/>
      <c r="GB74" s="3"/>
      <c r="GC74" s="3"/>
      <c r="GD74" s="3"/>
      <c r="GE74" s="3"/>
    </row>
    <row r="75" spans="1:187"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c r="GE75" s="3"/>
    </row>
    <row r="76" spans="1:187"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c r="FZ76" s="3"/>
      <c r="GA76" s="3"/>
      <c r="GB76" s="3"/>
      <c r="GC76" s="3"/>
      <c r="GD76" s="3"/>
      <c r="GE76" s="3"/>
    </row>
    <row r="77" spans="1:187"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c r="FZ77" s="3"/>
      <c r="GA77" s="3"/>
      <c r="GB77" s="3"/>
      <c r="GC77" s="3"/>
      <c r="GD77" s="3"/>
      <c r="GE77" s="3"/>
    </row>
    <row r="78" spans="1:187"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c r="FZ78" s="3"/>
      <c r="GA78" s="3"/>
      <c r="GB78" s="3"/>
      <c r="GC78" s="3"/>
      <c r="GD78" s="3"/>
      <c r="GE78" s="3"/>
    </row>
    <row r="79" spans="1:187"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c r="FZ79" s="3"/>
      <c r="GA79" s="3"/>
      <c r="GB79" s="3"/>
      <c r="GC79" s="3"/>
      <c r="GD79" s="3"/>
      <c r="GE79" s="3"/>
    </row>
    <row r="80" spans="1:187"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c r="FZ80" s="3"/>
      <c r="GA80" s="3"/>
      <c r="GB80" s="3"/>
      <c r="GC80" s="3"/>
      <c r="GD80" s="3"/>
      <c r="GE80" s="3"/>
    </row>
    <row r="81" spans="1:187"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c r="GB81" s="3"/>
      <c r="GC81" s="3"/>
      <c r="GD81" s="3"/>
      <c r="GE81" s="3"/>
    </row>
    <row r="82" spans="1:187"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c r="FZ82" s="3"/>
      <c r="GA82" s="3"/>
      <c r="GB82" s="3"/>
      <c r="GC82" s="3"/>
      <c r="GD82" s="3"/>
      <c r="GE82" s="3"/>
    </row>
    <row r="83" spans="1:187"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c r="FZ83" s="3"/>
      <c r="GA83" s="3"/>
      <c r="GB83" s="3"/>
      <c r="GC83" s="3"/>
      <c r="GD83" s="3"/>
      <c r="GE83" s="3"/>
    </row>
    <row r="84" spans="1:187"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c r="GB84" s="3"/>
      <c r="GC84" s="3"/>
      <c r="GD84" s="3"/>
      <c r="GE84" s="3"/>
    </row>
    <row r="85" spans="1:187"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c r="FZ85" s="3"/>
      <c r="GA85" s="3"/>
      <c r="GB85" s="3"/>
      <c r="GC85" s="3"/>
      <c r="GD85" s="3"/>
      <c r="GE85" s="3"/>
    </row>
    <row r="86" spans="1:187"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c r="GB86" s="3"/>
      <c r="GC86" s="3"/>
      <c r="GD86" s="3"/>
      <c r="GE86" s="3"/>
    </row>
    <row r="87" spans="1:187"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c r="FZ87" s="3"/>
      <c r="GA87" s="3"/>
      <c r="GB87" s="3"/>
      <c r="GC87" s="3"/>
      <c r="GD87" s="3"/>
      <c r="GE87" s="3"/>
    </row>
    <row r="88" spans="1:187"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c r="FZ88" s="3"/>
      <c r="GA88" s="3"/>
      <c r="GB88" s="3"/>
      <c r="GC88" s="3"/>
      <c r="GD88" s="3"/>
      <c r="GE88" s="3"/>
    </row>
    <row r="89" spans="1:187"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c r="FZ89" s="3"/>
      <c r="GA89" s="3"/>
      <c r="GB89" s="3"/>
      <c r="GC89" s="3"/>
      <c r="GD89" s="3"/>
      <c r="GE89" s="3"/>
    </row>
    <row r="90" spans="1:187"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c r="FZ90" s="3"/>
      <c r="GA90" s="3"/>
      <c r="GB90" s="3"/>
      <c r="GC90" s="3"/>
      <c r="GD90" s="3"/>
      <c r="GE90" s="3"/>
    </row>
    <row r="91" spans="1:187"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c r="FZ91" s="3"/>
      <c r="GA91" s="3"/>
      <c r="GB91" s="3"/>
      <c r="GC91" s="3"/>
      <c r="GD91" s="3"/>
      <c r="GE91" s="3"/>
    </row>
    <row r="92" spans="1:187"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c r="FZ92" s="3"/>
      <c r="GA92" s="3"/>
      <c r="GB92" s="3"/>
      <c r="GC92" s="3"/>
      <c r="GD92" s="3"/>
      <c r="GE92" s="3"/>
    </row>
    <row r="93" spans="1:187"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c r="GE93" s="3"/>
    </row>
    <row r="94" spans="1:187"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c r="FZ94" s="3"/>
      <c r="GA94" s="3"/>
      <c r="GB94" s="3"/>
      <c r="GC94" s="3"/>
      <c r="GD94" s="3"/>
      <c r="GE94" s="3"/>
    </row>
    <row r="95" spans="1:187"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c r="FZ95" s="3"/>
      <c r="GA95" s="3"/>
      <c r="GB95" s="3"/>
      <c r="GC95" s="3"/>
      <c r="GD95" s="3"/>
      <c r="GE95" s="3"/>
    </row>
    <row r="96" spans="1:187"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c r="FZ96" s="3"/>
      <c r="GA96" s="3"/>
      <c r="GB96" s="3"/>
      <c r="GC96" s="3"/>
      <c r="GD96" s="3"/>
      <c r="GE96" s="3"/>
    </row>
    <row r="97" spans="1:187"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c r="FZ97" s="3"/>
      <c r="GA97" s="3"/>
      <c r="GB97" s="3"/>
      <c r="GC97" s="3"/>
      <c r="GD97" s="3"/>
      <c r="GE97" s="3"/>
    </row>
    <row r="98" spans="1:187"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c r="FZ98" s="3"/>
      <c r="GA98" s="3"/>
      <c r="GB98" s="3"/>
      <c r="GC98" s="3"/>
      <c r="GD98" s="3"/>
      <c r="GE98" s="3"/>
    </row>
    <row r="99" spans="1:187"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c r="FZ99" s="3"/>
      <c r="GA99" s="3"/>
      <c r="GB99" s="3"/>
      <c r="GC99" s="3"/>
      <c r="GD99" s="3"/>
      <c r="GE99" s="3"/>
    </row>
    <row r="100" spans="1:187"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c r="FZ100" s="3"/>
      <c r="GA100" s="3"/>
      <c r="GB100" s="3"/>
      <c r="GC100" s="3"/>
      <c r="GD100" s="3"/>
      <c r="GE100" s="3"/>
    </row>
    <row r="101" spans="1:187"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c r="GB101" s="3"/>
      <c r="GC101" s="3"/>
      <c r="GD101" s="3"/>
      <c r="GE101" s="3"/>
    </row>
    <row r="102" spans="1:187"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c r="GC102" s="3"/>
      <c r="GD102" s="3"/>
      <c r="GE102" s="3"/>
    </row>
    <row r="103" spans="1:187"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c r="GB103" s="3"/>
      <c r="GC103" s="3"/>
      <c r="GD103" s="3"/>
      <c r="GE103" s="3"/>
    </row>
    <row r="104" spans="1:187"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c r="GB104" s="3"/>
      <c r="GC104" s="3"/>
      <c r="GD104" s="3"/>
      <c r="GE104" s="3"/>
    </row>
    <row r="105" spans="1:187"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c r="FZ105" s="3"/>
      <c r="GA105" s="3"/>
      <c r="GB105" s="3"/>
      <c r="GC105" s="3"/>
      <c r="GD105" s="3"/>
      <c r="GE105" s="3"/>
    </row>
    <row r="106" spans="1:187"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c r="GE106" s="3"/>
    </row>
    <row r="107" spans="1:187"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c r="FZ107" s="3"/>
      <c r="GA107" s="3"/>
      <c r="GB107" s="3"/>
      <c r="GC107" s="3"/>
      <c r="GD107" s="3"/>
      <c r="GE107" s="3"/>
    </row>
    <row r="108" spans="1:187"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c r="FZ108" s="3"/>
      <c r="GA108" s="3"/>
      <c r="GB108" s="3"/>
      <c r="GC108" s="3"/>
      <c r="GD108" s="3"/>
      <c r="GE108" s="3"/>
    </row>
    <row r="109" spans="1:187"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c r="FF109" s="3"/>
      <c r="FG109" s="3"/>
      <c r="FH109" s="3"/>
      <c r="FI109" s="3"/>
      <c r="FJ109" s="3"/>
      <c r="FK109" s="3"/>
      <c r="FL109" s="3"/>
      <c r="FM109" s="3"/>
      <c r="FN109" s="3"/>
      <c r="FO109" s="3"/>
      <c r="FP109" s="3"/>
      <c r="FQ109" s="3"/>
      <c r="FR109" s="3"/>
      <c r="FS109" s="3"/>
      <c r="FT109" s="3"/>
      <c r="FU109" s="3"/>
      <c r="FV109" s="3"/>
      <c r="FW109" s="3"/>
      <c r="FX109" s="3"/>
      <c r="FY109" s="3"/>
      <c r="FZ109" s="3"/>
      <c r="GA109" s="3"/>
      <c r="GB109" s="3"/>
      <c r="GC109" s="3"/>
      <c r="GD109" s="3"/>
      <c r="GE109" s="3"/>
    </row>
    <row r="110" spans="1:187"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c r="FZ110" s="3"/>
      <c r="GA110" s="3"/>
      <c r="GB110" s="3"/>
      <c r="GC110" s="3"/>
      <c r="GD110" s="3"/>
      <c r="GE110" s="3"/>
    </row>
    <row r="111" spans="1:187"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c r="FZ111" s="3"/>
      <c r="GA111" s="3"/>
      <c r="GB111" s="3"/>
      <c r="GC111" s="3"/>
      <c r="GD111" s="3"/>
      <c r="GE111" s="3"/>
    </row>
    <row r="112" spans="1:187"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c r="FZ112" s="3"/>
      <c r="GA112" s="3"/>
      <c r="GB112" s="3"/>
      <c r="GC112" s="3"/>
      <c r="GD112" s="3"/>
      <c r="GE112" s="3"/>
    </row>
    <row r="113" spans="1:187"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c r="FZ113" s="3"/>
      <c r="GA113" s="3"/>
      <c r="GB113" s="3"/>
      <c r="GC113" s="3"/>
      <c r="GD113" s="3"/>
      <c r="GE113" s="3"/>
    </row>
    <row r="114" spans="1:187"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c r="FZ114" s="3"/>
      <c r="GA114" s="3"/>
      <c r="GB114" s="3"/>
      <c r="GC114" s="3"/>
      <c r="GD114" s="3"/>
      <c r="GE114" s="3"/>
    </row>
    <row r="115" spans="1:187"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c r="FZ115" s="3"/>
      <c r="GA115" s="3"/>
      <c r="GB115" s="3"/>
      <c r="GC115" s="3"/>
      <c r="GD115" s="3"/>
      <c r="GE115" s="3"/>
    </row>
    <row r="116" spans="1:187"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c r="FZ116" s="3"/>
      <c r="GA116" s="3"/>
      <c r="GB116" s="3"/>
      <c r="GC116" s="3"/>
      <c r="GD116" s="3"/>
      <c r="GE116" s="3"/>
    </row>
    <row r="117" spans="1:187"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c r="FF117" s="3"/>
      <c r="FG117" s="3"/>
      <c r="FH117" s="3"/>
      <c r="FI117" s="3"/>
      <c r="FJ117" s="3"/>
      <c r="FK117" s="3"/>
      <c r="FL117" s="3"/>
      <c r="FM117" s="3"/>
      <c r="FN117" s="3"/>
      <c r="FO117" s="3"/>
      <c r="FP117" s="3"/>
      <c r="FQ117" s="3"/>
      <c r="FR117" s="3"/>
      <c r="FS117" s="3"/>
      <c r="FT117" s="3"/>
      <c r="FU117" s="3"/>
      <c r="FV117" s="3"/>
      <c r="FW117" s="3"/>
      <c r="FX117" s="3"/>
      <c r="FY117" s="3"/>
      <c r="FZ117" s="3"/>
      <c r="GA117" s="3"/>
      <c r="GB117" s="3"/>
      <c r="GC117" s="3"/>
      <c r="GD117" s="3"/>
      <c r="GE117" s="3"/>
    </row>
    <row r="118" spans="1:187"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c r="FZ118" s="3"/>
      <c r="GA118" s="3"/>
      <c r="GB118" s="3"/>
      <c r="GC118" s="3"/>
      <c r="GD118" s="3"/>
      <c r="GE118" s="3"/>
    </row>
    <row r="119" spans="1:187"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c r="FF119" s="3"/>
      <c r="FG119" s="3"/>
      <c r="FH119" s="3"/>
      <c r="FI119" s="3"/>
      <c r="FJ119" s="3"/>
      <c r="FK119" s="3"/>
      <c r="FL119" s="3"/>
      <c r="FM119" s="3"/>
      <c r="FN119" s="3"/>
      <c r="FO119" s="3"/>
      <c r="FP119" s="3"/>
      <c r="FQ119" s="3"/>
      <c r="FR119" s="3"/>
      <c r="FS119" s="3"/>
      <c r="FT119" s="3"/>
      <c r="FU119" s="3"/>
      <c r="FV119" s="3"/>
      <c r="FW119" s="3"/>
      <c r="FX119" s="3"/>
      <c r="FY119" s="3"/>
      <c r="FZ119" s="3"/>
      <c r="GA119" s="3"/>
      <c r="GB119" s="3"/>
      <c r="GC119" s="3"/>
      <c r="GD119" s="3"/>
      <c r="GE119" s="3"/>
    </row>
    <row r="120" spans="1:187"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c r="FZ120" s="3"/>
      <c r="GA120" s="3"/>
      <c r="GB120" s="3"/>
      <c r="GC120" s="3"/>
      <c r="GD120" s="3"/>
      <c r="GE120" s="3"/>
    </row>
    <row r="121" spans="1:187"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c r="FZ121" s="3"/>
      <c r="GA121" s="3"/>
      <c r="GB121" s="3"/>
      <c r="GC121" s="3"/>
      <c r="GD121" s="3"/>
      <c r="GE121" s="3"/>
    </row>
    <row r="122" spans="1:187"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c r="FZ122" s="3"/>
      <c r="GA122" s="3"/>
      <c r="GB122" s="3"/>
      <c r="GC122" s="3"/>
      <c r="GD122" s="3"/>
      <c r="GE122" s="3"/>
    </row>
    <row r="123" spans="1:187"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c r="FZ123" s="3"/>
      <c r="GA123" s="3"/>
      <c r="GB123" s="3"/>
      <c r="GC123" s="3"/>
      <c r="GD123" s="3"/>
      <c r="GE123" s="3"/>
    </row>
    <row r="124" spans="1:187"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c r="FZ124" s="3"/>
      <c r="GA124" s="3"/>
      <c r="GB124" s="3"/>
      <c r="GC124" s="3"/>
      <c r="GD124" s="3"/>
      <c r="GE124" s="3"/>
    </row>
    <row r="125" spans="1:187"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c r="FZ125" s="3"/>
      <c r="GA125" s="3"/>
      <c r="GB125" s="3"/>
      <c r="GC125" s="3"/>
      <c r="GD125" s="3"/>
      <c r="GE125" s="3"/>
    </row>
    <row r="126" spans="1:187"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c r="GB126" s="3"/>
      <c r="GC126" s="3"/>
      <c r="GD126" s="3"/>
      <c r="GE126" s="3"/>
    </row>
    <row r="127" spans="1:187"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c r="FZ127" s="3"/>
      <c r="GA127" s="3"/>
      <c r="GB127" s="3"/>
      <c r="GC127" s="3"/>
      <c r="GD127" s="3"/>
      <c r="GE127" s="3"/>
    </row>
    <row r="128" spans="1:187"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c r="FZ128" s="3"/>
      <c r="GA128" s="3"/>
      <c r="GB128" s="3"/>
      <c r="GC128" s="3"/>
      <c r="GD128" s="3"/>
      <c r="GE128" s="3"/>
    </row>
    <row r="129" spans="1:187"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c r="FZ129" s="3"/>
      <c r="GA129" s="3"/>
      <c r="GB129" s="3"/>
      <c r="GC129" s="3"/>
      <c r="GD129" s="3"/>
      <c r="GE129" s="3"/>
    </row>
    <row r="130" spans="1:187"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c r="FZ130" s="3"/>
      <c r="GA130" s="3"/>
      <c r="GB130" s="3"/>
      <c r="GC130" s="3"/>
      <c r="GD130" s="3"/>
      <c r="GE130" s="3"/>
    </row>
    <row r="131" spans="1:187"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c r="FZ131" s="3"/>
      <c r="GA131" s="3"/>
      <c r="GB131" s="3"/>
      <c r="GC131" s="3"/>
      <c r="GD131" s="3"/>
      <c r="GE131" s="3"/>
    </row>
    <row r="132" spans="1:187"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c r="FZ132" s="3"/>
      <c r="GA132" s="3"/>
      <c r="GB132" s="3"/>
      <c r="GC132" s="3"/>
      <c r="GD132" s="3"/>
      <c r="GE132" s="3"/>
    </row>
    <row r="133" spans="1:187"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c r="FZ133" s="3"/>
      <c r="GA133" s="3"/>
      <c r="GB133" s="3"/>
      <c r="GC133" s="3"/>
      <c r="GD133" s="3"/>
      <c r="GE133" s="3"/>
    </row>
    <row r="134" spans="1:187"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c r="FZ134" s="3"/>
      <c r="GA134" s="3"/>
      <c r="GB134" s="3"/>
      <c r="GC134" s="3"/>
      <c r="GD134" s="3"/>
      <c r="GE134" s="3"/>
    </row>
    <row r="135" spans="1:187"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c r="FZ135" s="3"/>
      <c r="GA135" s="3"/>
      <c r="GB135" s="3"/>
      <c r="GC135" s="3"/>
      <c r="GD135" s="3"/>
      <c r="GE135" s="3"/>
    </row>
    <row r="136" spans="1:187"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c r="FZ136" s="3"/>
      <c r="GA136" s="3"/>
      <c r="GB136" s="3"/>
      <c r="GC136" s="3"/>
      <c r="GD136" s="3"/>
      <c r="GE136" s="3"/>
    </row>
    <row r="137" spans="1:187"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c r="FZ137" s="3"/>
      <c r="GA137" s="3"/>
      <c r="GB137" s="3"/>
      <c r="GC137" s="3"/>
      <c r="GD137" s="3"/>
      <c r="GE137" s="3"/>
    </row>
    <row r="138" spans="1:187"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c r="FZ138" s="3"/>
      <c r="GA138" s="3"/>
      <c r="GB138" s="3"/>
      <c r="GC138" s="3"/>
      <c r="GD138" s="3"/>
      <c r="GE138" s="3"/>
    </row>
    <row r="139" spans="1:187"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c r="FZ139" s="3"/>
      <c r="GA139" s="3"/>
      <c r="GB139" s="3"/>
      <c r="GC139" s="3"/>
      <c r="GD139" s="3"/>
      <c r="GE139" s="3"/>
    </row>
    <row r="140" spans="1:187"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c r="GE140" s="3"/>
    </row>
    <row r="141" spans="1:187"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c r="GB141" s="3"/>
      <c r="GC141" s="3"/>
      <c r="GD141" s="3"/>
      <c r="GE141" s="3"/>
    </row>
    <row r="142" spans="1:187"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c r="FZ142" s="3"/>
      <c r="GA142" s="3"/>
      <c r="GB142" s="3"/>
      <c r="GC142" s="3"/>
      <c r="GD142" s="3"/>
      <c r="GE142" s="3"/>
    </row>
    <row r="143" spans="1:187"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c r="FZ143" s="3"/>
      <c r="GA143" s="3"/>
      <c r="GB143" s="3"/>
      <c r="GC143" s="3"/>
      <c r="GD143" s="3"/>
      <c r="GE143" s="3"/>
    </row>
    <row r="144" spans="1:187"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c r="FF144" s="3"/>
      <c r="FG144" s="3"/>
      <c r="FH144" s="3"/>
      <c r="FI144" s="3"/>
      <c r="FJ144" s="3"/>
      <c r="FK144" s="3"/>
      <c r="FL144" s="3"/>
      <c r="FM144" s="3"/>
      <c r="FN144" s="3"/>
      <c r="FO144" s="3"/>
      <c r="FP144" s="3"/>
      <c r="FQ144" s="3"/>
      <c r="FR144" s="3"/>
      <c r="FS144" s="3"/>
      <c r="FT144" s="3"/>
      <c r="FU144" s="3"/>
      <c r="FV144" s="3"/>
      <c r="FW144" s="3"/>
      <c r="FX144" s="3"/>
      <c r="FY144" s="3"/>
      <c r="FZ144" s="3"/>
      <c r="GA144" s="3"/>
      <c r="GB144" s="3"/>
      <c r="GC144" s="3"/>
      <c r="GD144" s="3"/>
      <c r="GE144" s="3"/>
    </row>
    <row r="145" spans="1:187"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c r="FF145" s="3"/>
      <c r="FG145" s="3"/>
      <c r="FH145" s="3"/>
      <c r="FI145" s="3"/>
      <c r="FJ145" s="3"/>
      <c r="FK145" s="3"/>
      <c r="FL145" s="3"/>
      <c r="FM145" s="3"/>
      <c r="FN145" s="3"/>
      <c r="FO145" s="3"/>
      <c r="FP145" s="3"/>
      <c r="FQ145" s="3"/>
      <c r="FR145" s="3"/>
      <c r="FS145" s="3"/>
      <c r="FT145" s="3"/>
      <c r="FU145" s="3"/>
      <c r="FV145" s="3"/>
      <c r="FW145" s="3"/>
      <c r="FX145" s="3"/>
      <c r="FY145" s="3"/>
      <c r="FZ145" s="3"/>
      <c r="GA145" s="3"/>
      <c r="GB145" s="3"/>
      <c r="GC145" s="3"/>
      <c r="GD145" s="3"/>
      <c r="GE145" s="3"/>
    </row>
    <row r="146" spans="1:187"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c r="FZ146" s="3"/>
      <c r="GA146" s="3"/>
      <c r="GB146" s="3"/>
      <c r="GC146" s="3"/>
      <c r="GD146" s="3"/>
      <c r="GE146" s="3"/>
    </row>
    <row r="147" spans="1:187"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c r="FA147" s="3"/>
      <c r="FB147" s="3"/>
      <c r="FC147" s="3"/>
      <c r="FD147" s="3"/>
      <c r="FE147" s="3"/>
      <c r="FF147" s="3"/>
      <c r="FG147" s="3"/>
      <c r="FH147" s="3"/>
      <c r="FI147" s="3"/>
      <c r="FJ147" s="3"/>
      <c r="FK147" s="3"/>
      <c r="FL147" s="3"/>
      <c r="FM147" s="3"/>
      <c r="FN147" s="3"/>
      <c r="FO147" s="3"/>
      <c r="FP147" s="3"/>
      <c r="FQ147" s="3"/>
      <c r="FR147" s="3"/>
      <c r="FS147" s="3"/>
      <c r="FT147" s="3"/>
      <c r="FU147" s="3"/>
      <c r="FV147" s="3"/>
      <c r="FW147" s="3"/>
      <c r="FX147" s="3"/>
      <c r="FY147" s="3"/>
      <c r="FZ147" s="3"/>
      <c r="GA147" s="3"/>
      <c r="GB147" s="3"/>
      <c r="GC147" s="3"/>
      <c r="GD147" s="3"/>
      <c r="GE147" s="3"/>
    </row>
    <row r="148" spans="1:187"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c r="FF148" s="3"/>
      <c r="FG148" s="3"/>
      <c r="FH148" s="3"/>
      <c r="FI148" s="3"/>
      <c r="FJ148" s="3"/>
      <c r="FK148" s="3"/>
      <c r="FL148" s="3"/>
      <c r="FM148" s="3"/>
      <c r="FN148" s="3"/>
      <c r="FO148" s="3"/>
      <c r="FP148" s="3"/>
      <c r="FQ148" s="3"/>
      <c r="FR148" s="3"/>
      <c r="FS148" s="3"/>
      <c r="FT148" s="3"/>
      <c r="FU148" s="3"/>
      <c r="FV148" s="3"/>
      <c r="FW148" s="3"/>
      <c r="FX148" s="3"/>
      <c r="FY148" s="3"/>
      <c r="FZ148" s="3"/>
      <c r="GA148" s="3"/>
      <c r="GB148" s="3"/>
      <c r="GC148" s="3"/>
      <c r="GD148" s="3"/>
      <c r="GE148" s="3"/>
    </row>
    <row r="149" spans="1:187"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c r="FA149" s="3"/>
      <c r="FB149" s="3"/>
      <c r="FC149" s="3"/>
      <c r="FD149" s="3"/>
      <c r="FE149" s="3"/>
      <c r="FF149" s="3"/>
      <c r="FG149" s="3"/>
      <c r="FH149" s="3"/>
      <c r="FI149" s="3"/>
      <c r="FJ149" s="3"/>
      <c r="FK149" s="3"/>
      <c r="FL149" s="3"/>
      <c r="FM149" s="3"/>
      <c r="FN149" s="3"/>
      <c r="FO149" s="3"/>
      <c r="FP149" s="3"/>
      <c r="FQ149" s="3"/>
      <c r="FR149" s="3"/>
      <c r="FS149" s="3"/>
      <c r="FT149" s="3"/>
      <c r="FU149" s="3"/>
      <c r="FV149" s="3"/>
      <c r="FW149" s="3"/>
      <c r="FX149" s="3"/>
      <c r="FY149" s="3"/>
      <c r="FZ149" s="3"/>
      <c r="GA149" s="3"/>
      <c r="GB149" s="3"/>
      <c r="GC149" s="3"/>
      <c r="GD149" s="3"/>
      <c r="GE149" s="3"/>
    </row>
    <row r="150" spans="1:187"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c r="FF150" s="3"/>
      <c r="FG150" s="3"/>
      <c r="FH150" s="3"/>
      <c r="FI150" s="3"/>
      <c r="FJ150" s="3"/>
      <c r="FK150" s="3"/>
      <c r="FL150" s="3"/>
      <c r="FM150" s="3"/>
      <c r="FN150" s="3"/>
      <c r="FO150" s="3"/>
      <c r="FP150" s="3"/>
      <c r="FQ150" s="3"/>
      <c r="FR150" s="3"/>
      <c r="FS150" s="3"/>
      <c r="FT150" s="3"/>
      <c r="FU150" s="3"/>
      <c r="FV150" s="3"/>
      <c r="FW150" s="3"/>
      <c r="FX150" s="3"/>
      <c r="FY150" s="3"/>
      <c r="FZ150" s="3"/>
      <c r="GA150" s="3"/>
      <c r="GB150" s="3"/>
      <c r="GC150" s="3"/>
      <c r="GD150" s="3"/>
      <c r="GE150" s="3"/>
    </row>
    <row r="151" spans="1:187"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c r="EY151" s="3"/>
      <c r="EZ151" s="3"/>
      <c r="FA151" s="3"/>
      <c r="FB151" s="3"/>
      <c r="FC151" s="3"/>
      <c r="FD151" s="3"/>
      <c r="FE151" s="3"/>
      <c r="FF151" s="3"/>
      <c r="FG151" s="3"/>
      <c r="FH151" s="3"/>
      <c r="FI151" s="3"/>
      <c r="FJ151" s="3"/>
      <c r="FK151" s="3"/>
      <c r="FL151" s="3"/>
      <c r="FM151" s="3"/>
      <c r="FN151" s="3"/>
      <c r="FO151" s="3"/>
      <c r="FP151" s="3"/>
      <c r="FQ151" s="3"/>
      <c r="FR151" s="3"/>
      <c r="FS151" s="3"/>
      <c r="FT151" s="3"/>
      <c r="FU151" s="3"/>
      <c r="FV151" s="3"/>
      <c r="FW151" s="3"/>
      <c r="FX151" s="3"/>
      <c r="FY151" s="3"/>
      <c r="FZ151" s="3"/>
      <c r="GA151" s="3"/>
      <c r="GB151" s="3"/>
      <c r="GC151" s="3"/>
      <c r="GD151" s="3"/>
      <c r="GE151" s="3"/>
    </row>
    <row r="152" spans="1:187"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c r="EY152" s="3"/>
      <c r="EZ152" s="3"/>
      <c r="FA152" s="3"/>
      <c r="FB152" s="3"/>
      <c r="FC152" s="3"/>
      <c r="FD152" s="3"/>
      <c r="FE152" s="3"/>
      <c r="FF152" s="3"/>
      <c r="FG152" s="3"/>
      <c r="FH152" s="3"/>
      <c r="FI152" s="3"/>
      <c r="FJ152" s="3"/>
      <c r="FK152" s="3"/>
      <c r="FL152" s="3"/>
      <c r="FM152" s="3"/>
      <c r="FN152" s="3"/>
      <c r="FO152" s="3"/>
      <c r="FP152" s="3"/>
      <c r="FQ152" s="3"/>
      <c r="FR152" s="3"/>
      <c r="FS152" s="3"/>
      <c r="FT152" s="3"/>
      <c r="FU152" s="3"/>
      <c r="FV152" s="3"/>
      <c r="FW152" s="3"/>
      <c r="FX152" s="3"/>
      <c r="FY152" s="3"/>
      <c r="FZ152" s="3"/>
      <c r="GA152" s="3"/>
      <c r="GB152" s="3"/>
      <c r="GC152" s="3"/>
      <c r="GD152" s="3"/>
      <c r="GE152" s="3"/>
    </row>
    <row r="153" spans="1:187"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c r="EY153" s="3"/>
      <c r="EZ153" s="3"/>
      <c r="FA153" s="3"/>
      <c r="FB153" s="3"/>
      <c r="FC153" s="3"/>
      <c r="FD153" s="3"/>
      <c r="FE153" s="3"/>
      <c r="FF153" s="3"/>
      <c r="FG153" s="3"/>
      <c r="FH153" s="3"/>
      <c r="FI153" s="3"/>
      <c r="FJ153" s="3"/>
      <c r="FK153" s="3"/>
      <c r="FL153" s="3"/>
      <c r="FM153" s="3"/>
      <c r="FN153" s="3"/>
      <c r="FO153" s="3"/>
      <c r="FP153" s="3"/>
      <c r="FQ153" s="3"/>
      <c r="FR153" s="3"/>
      <c r="FS153" s="3"/>
      <c r="FT153" s="3"/>
      <c r="FU153" s="3"/>
      <c r="FV153" s="3"/>
      <c r="FW153" s="3"/>
      <c r="FX153" s="3"/>
      <c r="FY153" s="3"/>
      <c r="FZ153" s="3"/>
      <c r="GA153" s="3"/>
      <c r="GB153" s="3"/>
      <c r="GC153" s="3"/>
      <c r="GD153" s="3"/>
      <c r="GE153" s="3"/>
    </row>
    <row r="154" spans="1:187"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c r="EY154" s="3"/>
      <c r="EZ154" s="3"/>
      <c r="FA154" s="3"/>
      <c r="FB154" s="3"/>
      <c r="FC154" s="3"/>
      <c r="FD154" s="3"/>
      <c r="FE154" s="3"/>
      <c r="FF154" s="3"/>
      <c r="FG154" s="3"/>
      <c r="FH154" s="3"/>
      <c r="FI154" s="3"/>
      <c r="FJ154" s="3"/>
      <c r="FK154" s="3"/>
      <c r="FL154" s="3"/>
      <c r="FM154" s="3"/>
      <c r="FN154" s="3"/>
      <c r="FO154" s="3"/>
      <c r="FP154" s="3"/>
      <c r="FQ154" s="3"/>
      <c r="FR154" s="3"/>
      <c r="FS154" s="3"/>
      <c r="FT154" s="3"/>
      <c r="FU154" s="3"/>
      <c r="FV154" s="3"/>
      <c r="FW154" s="3"/>
      <c r="FX154" s="3"/>
      <c r="FY154" s="3"/>
      <c r="FZ154" s="3"/>
      <c r="GA154" s="3"/>
      <c r="GB154" s="3"/>
      <c r="GC154" s="3"/>
      <c r="GD154" s="3"/>
      <c r="GE154" s="3"/>
    </row>
    <row r="155" spans="1:187"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c r="FA155" s="3"/>
      <c r="FB155" s="3"/>
      <c r="FC155" s="3"/>
      <c r="FD155" s="3"/>
      <c r="FE155" s="3"/>
      <c r="FF155" s="3"/>
      <c r="FG155" s="3"/>
      <c r="FH155" s="3"/>
      <c r="FI155" s="3"/>
      <c r="FJ155" s="3"/>
      <c r="FK155" s="3"/>
      <c r="FL155" s="3"/>
      <c r="FM155" s="3"/>
      <c r="FN155" s="3"/>
      <c r="FO155" s="3"/>
      <c r="FP155" s="3"/>
      <c r="FQ155" s="3"/>
      <c r="FR155" s="3"/>
      <c r="FS155" s="3"/>
      <c r="FT155" s="3"/>
      <c r="FU155" s="3"/>
      <c r="FV155" s="3"/>
      <c r="FW155" s="3"/>
      <c r="FX155" s="3"/>
      <c r="FY155" s="3"/>
      <c r="FZ155" s="3"/>
      <c r="GA155" s="3"/>
      <c r="GB155" s="3"/>
      <c r="GC155" s="3"/>
      <c r="GD155" s="3"/>
      <c r="GE155" s="3"/>
    </row>
    <row r="156" spans="1:187"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c r="FS156" s="3"/>
      <c r="FT156" s="3"/>
      <c r="FU156" s="3"/>
      <c r="FV156" s="3"/>
      <c r="FW156" s="3"/>
      <c r="FX156" s="3"/>
      <c r="FY156" s="3"/>
      <c r="FZ156" s="3"/>
      <c r="GA156" s="3"/>
      <c r="GB156" s="3"/>
      <c r="GC156" s="3"/>
      <c r="GD156" s="3"/>
      <c r="GE156" s="3"/>
    </row>
    <row r="157" spans="1:187"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c r="EY157" s="3"/>
      <c r="EZ157" s="3"/>
      <c r="FA157" s="3"/>
      <c r="FB157" s="3"/>
      <c r="FC157" s="3"/>
      <c r="FD157" s="3"/>
      <c r="FE157" s="3"/>
      <c r="FF157" s="3"/>
      <c r="FG157" s="3"/>
      <c r="FH157" s="3"/>
      <c r="FI157" s="3"/>
      <c r="FJ157" s="3"/>
      <c r="FK157" s="3"/>
      <c r="FL157" s="3"/>
      <c r="FM157" s="3"/>
      <c r="FN157" s="3"/>
      <c r="FO157" s="3"/>
      <c r="FP157" s="3"/>
      <c r="FQ157" s="3"/>
      <c r="FR157" s="3"/>
      <c r="FS157" s="3"/>
      <c r="FT157" s="3"/>
      <c r="FU157" s="3"/>
      <c r="FV157" s="3"/>
      <c r="FW157" s="3"/>
      <c r="FX157" s="3"/>
      <c r="FY157" s="3"/>
      <c r="FZ157" s="3"/>
      <c r="GA157" s="3"/>
      <c r="GB157" s="3"/>
      <c r="GC157" s="3"/>
      <c r="GD157" s="3"/>
      <c r="GE157" s="3"/>
    </row>
    <row r="158" spans="1:187"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c r="FZ158" s="3"/>
      <c r="GA158" s="3"/>
      <c r="GB158" s="3"/>
      <c r="GC158" s="3"/>
      <c r="GD158" s="3"/>
      <c r="GE158" s="3"/>
    </row>
    <row r="159" spans="1:187"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c r="FA159" s="3"/>
      <c r="FB159" s="3"/>
      <c r="FC159" s="3"/>
      <c r="FD159" s="3"/>
      <c r="FE159" s="3"/>
      <c r="FF159" s="3"/>
      <c r="FG159" s="3"/>
      <c r="FH159" s="3"/>
      <c r="FI159" s="3"/>
      <c r="FJ159" s="3"/>
      <c r="FK159" s="3"/>
      <c r="FL159" s="3"/>
      <c r="FM159" s="3"/>
      <c r="FN159" s="3"/>
      <c r="FO159" s="3"/>
      <c r="FP159" s="3"/>
      <c r="FQ159" s="3"/>
      <c r="FR159" s="3"/>
      <c r="FS159" s="3"/>
      <c r="FT159" s="3"/>
      <c r="FU159" s="3"/>
      <c r="FV159" s="3"/>
      <c r="FW159" s="3"/>
      <c r="FX159" s="3"/>
      <c r="FY159" s="3"/>
      <c r="FZ159" s="3"/>
      <c r="GA159" s="3"/>
      <c r="GB159" s="3"/>
      <c r="GC159" s="3"/>
      <c r="GD159" s="3"/>
      <c r="GE159" s="3"/>
    </row>
    <row r="160" spans="1:187"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c r="FZ160" s="3"/>
      <c r="GA160" s="3"/>
      <c r="GB160" s="3"/>
      <c r="GC160" s="3"/>
      <c r="GD160" s="3"/>
      <c r="GE160" s="3"/>
    </row>
    <row r="161" spans="1:187"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c r="FF161" s="3"/>
      <c r="FG161" s="3"/>
      <c r="FH161" s="3"/>
      <c r="FI161" s="3"/>
      <c r="FJ161" s="3"/>
      <c r="FK161" s="3"/>
      <c r="FL161" s="3"/>
      <c r="FM161" s="3"/>
      <c r="FN161" s="3"/>
      <c r="FO161" s="3"/>
      <c r="FP161" s="3"/>
      <c r="FQ161" s="3"/>
      <c r="FR161" s="3"/>
      <c r="FS161" s="3"/>
      <c r="FT161" s="3"/>
      <c r="FU161" s="3"/>
      <c r="FV161" s="3"/>
      <c r="FW161" s="3"/>
      <c r="FX161" s="3"/>
      <c r="FY161" s="3"/>
      <c r="FZ161" s="3"/>
      <c r="GA161" s="3"/>
      <c r="GB161" s="3"/>
      <c r="GC161" s="3"/>
      <c r="GD161" s="3"/>
      <c r="GE161" s="3"/>
    </row>
    <row r="162" spans="1:187"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row>
    <row r="163" spans="1:187"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c r="GE163" s="3"/>
    </row>
    <row r="164" spans="1:187"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c r="FZ164" s="3"/>
      <c r="GA164" s="3"/>
      <c r="GB164" s="3"/>
      <c r="GC164" s="3"/>
      <c r="GD164" s="3"/>
      <c r="GE164" s="3"/>
    </row>
    <row r="165" spans="1:187"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c r="FF165" s="3"/>
      <c r="FG165" s="3"/>
      <c r="FH165" s="3"/>
      <c r="FI165" s="3"/>
      <c r="FJ165" s="3"/>
      <c r="FK165" s="3"/>
      <c r="FL165" s="3"/>
      <c r="FM165" s="3"/>
      <c r="FN165" s="3"/>
      <c r="FO165" s="3"/>
      <c r="FP165" s="3"/>
      <c r="FQ165" s="3"/>
      <c r="FR165" s="3"/>
      <c r="FS165" s="3"/>
      <c r="FT165" s="3"/>
      <c r="FU165" s="3"/>
      <c r="FV165" s="3"/>
      <c r="FW165" s="3"/>
      <c r="FX165" s="3"/>
      <c r="FY165" s="3"/>
      <c r="FZ165" s="3"/>
      <c r="GA165" s="3"/>
      <c r="GB165" s="3"/>
      <c r="GC165" s="3"/>
      <c r="GD165" s="3"/>
      <c r="GE165" s="3"/>
    </row>
    <row r="166" spans="1:187"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c r="FF166" s="3"/>
      <c r="FG166" s="3"/>
      <c r="FH166" s="3"/>
      <c r="FI166" s="3"/>
      <c r="FJ166" s="3"/>
      <c r="FK166" s="3"/>
      <c r="FL166" s="3"/>
      <c r="FM166" s="3"/>
      <c r="FN166" s="3"/>
      <c r="FO166" s="3"/>
      <c r="FP166" s="3"/>
      <c r="FQ166" s="3"/>
      <c r="FR166" s="3"/>
      <c r="FS166" s="3"/>
      <c r="FT166" s="3"/>
      <c r="FU166" s="3"/>
      <c r="FV166" s="3"/>
      <c r="FW166" s="3"/>
      <c r="FX166" s="3"/>
      <c r="FY166" s="3"/>
      <c r="FZ166" s="3"/>
      <c r="GA166" s="3"/>
      <c r="GB166" s="3"/>
      <c r="GC166" s="3"/>
      <c r="GD166" s="3"/>
      <c r="GE166" s="3"/>
    </row>
    <row r="167" spans="1:187"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c r="FA167" s="3"/>
      <c r="FB167" s="3"/>
      <c r="FC167" s="3"/>
      <c r="FD167" s="3"/>
      <c r="FE167" s="3"/>
      <c r="FF167" s="3"/>
      <c r="FG167" s="3"/>
      <c r="FH167" s="3"/>
      <c r="FI167" s="3"/>
      <c r="FJ167" s="3"/>
      <c r="FK167" s="3"/>
      <c r="FL167" s="3"/>
      <c r="FM167" s="3"/>
      <c r="FN167" s="3"/>
      <c r="FO167" s="3"/>
      <c r="FP167" s="3"/>
      <c r="FQ167" s="3"/>
      <c r="FR167" s="3"/>
      <c r="FS167" s="3"/>
      <c r="FT167" s="3"/>
      <c r="FU167" s="3"/>
      <c r="FV167" s="3"/>
      <c r="FW167" s="3"/>
      <c r="FX167" s="3"/>
      <c r="FY167" s="3"/>
      <c r="FZ167" s="3"/>
      <c r="GA167" s="3"/>
      <c r="GB167" s="3"/>
      <c r="GC167" s="3"/>
      <c r="GD167" s="3"/>
      <c r="GE167" s="3"/>
    </row>
    <row r="168" spans="1:187"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c r="FZ168" s="3"/>
      <c r="GA168" s="3"/>
      <c r="GB168" s="3"/>
      <c r="GC168" s="3"/>
      <c r="GD168" s="3"/>
      <c r="GE168" s="3"/>
    </row>
    <row r="169" spans="1:187"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c r="FF169" s="3"/>
      <c r="FG169" s="3"/>
      <c r="FH169" s="3"/>
      <c r="FI169" s="3"/>
      <c r="FJ169" s="3"/>
      <c r="FK169" s="3"/>
      <c r="FL169" s="3"/>
      <c r="FM169" s="3"/>
      <c r="FN169" s="3"/>
      <c r="FO169" s="3"/>
      <c r="FP169" s="3"/>
      <c r="FQ169" s="3"/>
      <c r="FR169" s="3"/>
      <c r="FS169" s="3"/>
      <c r="FT169" s="3"/>
      <c r="FU169" s="3"/>
      <c r="FV169" s="3"/>
      <c r="FW169" s="3"/>
      <c r="FX169" s="3"/>
      <c r="FY169" s="3"/>
      <c r="FZ169" s="3"/>
      <c r="GA169" s="3"/>
      <c r="GB169" s="3"/>
      <c r="GC169" s="3"/>
      <c r="GD169" s="3"/>
      <c r="GE169" s="3"/>
    </row>
    <row r="170" spans="1:187"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c r="FS170" s="3"/>
      <c r="FT170" s="3"/>
      <c r="FU170" s="3"/>
      <c r="FV170" s="3"/>
      <c r="FW170" s="3"/>
      <c r="FX170" s="3"/>
      <c r="FY170" s="3"/>
      <c r="FZ170" s="3"/>
      <c r="GA170" s="3"/>
      <c r="GB170" s="3"/>
      <c r="GC170" s="3"/>
      <c r="GD170" s="3"/>
      <c r="GE170" s="3"/>
    </row>
    <row r="171" spans="1:187"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c r="FF171" s="3"/>
      <c r="FG171" s="3"/>
      <c r="FH171" s="3"/>
      <c r="FI171" s="3"/>
      <c r="FJ171" s="3"/>
      <c r="FK171" s="3"/>
      <c r="FL171" s="3"/>
      <c r="FM171" s="3"/>
      <c r="FN171" s="3"/>
      <c r="FO171" s="3"/>
      <c r="FP171" s="3"/>
      <c r="FQ171" s="3"/>
      <c r="FR171" s="3"/>
      <c r="FS171" s="3"/>
      <c r="FT171" s="3"/>
      <c r="FU171" s="3"/>
      <c r="FV171" s="3"/>
      <c r="FW171" s="3"/>
      <c r="FX171" s="3"/>
      <c r="FY171" s="3"/>
      <c r="FZ171" s="3"/>
      <c r="GA171" s="3"/>
      <c r="GB171" s="3"/>
      <c r="GC171" s="3"/>
      <c r="GD171" s="3"/>
      <c r="GE171" s="3"/>
    </row>
    <row r="172" spans="1:187"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c r="FF172" s="3"/>
      <c r="FG172" s="3"/>
      <c r="FH172" s="3"/>
      <c r="FI172" s="3"/>
      <c r="FJ172" s="3"/>
      <c r="FK172" s="3"/>
      <c r="FL172" s="3"/>
      <c r="FM172" s="3"/>
      <c r="FN172" s="3"/>
      <c r="FO172" s="3"/>
      <c r="FP172" s="3"/>
      <c r="FQ172" s="3"/>
      <c r="FR172" s="3"/>
      <c r="FS172" s="3"/>
      <c r="FT172" s="3"/>
      <c r="FU172" s="3"/>
      <c r="FV172" s="3"/>
      <c r="FW172" s="3"/>
      <c r="FX172" s="3"/>
      <c r="FY172" s="3"/>
      <c r="FZ172" s="3"/>
      <c r="GA172" s="3"/>
      <c r="GB172" s="3"/>
      <c r="GC172" s="3"/>
      <c r="GD172" s="3"/>
      <c r="GE172" s="3"/>
    </row>
    <row r="173" spans="1:187"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c r="FF173" s="3"/>
      <c r="FG173" s="3"/>
      <c r="FH173" s="3"/>
      <c r="FI173" s="3"/>
      <c r="FJ173" s="3"/>
      <c r="FK173" s="3"/>
      <c r="FL173" s="3"/>
      <c r="FM173" s="3"/>
      <c r="FN173" s="3"/>
      <c r="FO173" s="3"/>
      <c r="FP173" s="3"/>
      <c r="FQ173" s="3"/>
      <c r="FR173" s="3"/>
      <c r="FS173" s="3"/>
      <c r="FT173" s="3"/>
      <c r="FU173" s="3"/>
      <c r="FV173" s="3"/>
      <c r="FW173" s="3"/>
      <c r="FX173" s="3"/>
      <c r="FY173" s="3"/>
      <c r="FZ173" s="3"/>
      <c r="GA173" s="3"/>
      <c r="GB173" s="3"/>
      <c r="GC173" s="3"/>
      <c r="GD173" s="3"/>
      <c r="GE173" s="3"/>
    </row>
    <row r="174" spans="1:187"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c r="FS174" s="3"/>
      <c r="FT174" s="3"/>
      <c r="FU174" s="3"/>
      <c r="FV174" s="3"/>
      <c r="FW174" s="3"/>
      <c r="FX174" s="3"/>
      <c r="FY174" s="3"/>
      <c r="FZ174" s="3"/>
      <c r="GA174" s="3"/>
      <c r="GB174" s="3"/>
      <c r="GC174" s="3"/>
      <c r="GD174" s="3"/>
      <c r="GE174" s="3"/>
    </row>
    <row r="175" spans="1:187"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c r="FF175" s="3"/>
      <c r="FG175" s="3"/>
      <c r="FH175" s="3"/>
      <c r="FI175" s="3"/>
      <c r="FJ175" s="3"/>
      <c r="FK175" s="3"/>
      <c r="FL175" s="3"/>
      <c r="FM175" s="3"/>
      <c r="FN175" s="3"/>
      <c r="FO175" s="3"/>
      <c r="FP175" s="3"/>
      <c r="FQ175" s="3"/>
      <c r="FR175" s="3"/>
      <c r="FS175" s="3"/>
      <c r="FT175" s="3"/>
      <c r="FU175" s="3"/>
      <c r="FV175" s="3"/>
      <c r="FW175" s="3"/>
      <c r="FX175" s="3"/>
      <c r="FY175" s="3"/>
      <c r="FZ175" s="3"/>
      <c r="GA175" s="3"/>
      <c r="GB175" s="3"/>
      <c r="GC175" s="3"/>
      <c r="GD175" s="3"/>
      <c r="GE175" s="3"/>
    </row>
    <row r="176" spans="1:187"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c r="FZ176" s="3"/>
      <c r="GA176" s="3"/>
      <c r="GB176" s="3"/>
      <c r="GC176" s="3"/>
      <c r="GD176" s="3"/>
      <c r="GE176" s="3"/>
    </row>
    <row r="177" spans="1:187"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c r="FS177" s="3"/>
      <c r="FT177" s="3"/>
      <c r="FU177" s="3"/>
      <c r="FV177" s="3"/>
      <c r="FW177" s="3"/>
      <c r="FX177" s="3"/>
      <c r="FY177" s="3"/>
      <c r="FZ177" s="3"/>
      <c r="GA177" s="3"/>
      <c r="GB177" s="3"/>
      <c r="GC177" s="3"/>
      <c r="GD177" s="3"/>
      <c r="GE177" s="3"/>
    </row>
    <row r="178" spans="1:187"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c r="FF178" s="3"/>
      <c r="FG178" s="3"/>
      <c r="FH178" s="3"/>
      <c r="FI178" s="3"/>
      <c r="FJ178" s="3"/>
      <c r="FK178" s="3"/>
      <c r="FL178" s="3"/>
      <c r="FM178" s="3"/>
      <c r="FN178" s="3"/>
      <c r="FO178" s="3"/>
      <c r="FP178" s="3"/>
      <c r="FQ178" s="3"/>
      <c r="FR178" s="3"/>
      <c r="FS178" s="3"/>
      <c r="FT178" s="3"/>
      <c r="FU178" s="3"/>
      <c r="FV178" s="3"/>
      <c r="FW178" s="3"/>
      <c r="FX178" s="3"/>
      <c r="FY178" s="3"/>
      <c r="FZ178" s="3"/>
      <c r="GA178" s="3"/>
      <c r="GB178" s="3"/>
      <c r="GC178" s="3"/>
      <c r="GD178" s="3"/>
      <c r="GE178" s="3"/>
    </row>
    <row r="179" spans="1:187"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c r="EY179" s="3"/>
      <c r="EZ179" s="3"/>
      <c r="FA179" s="3"/>
      <c r="FB179" s="3"/>
      <c r="FC179" s="3"/>
      <c r="FD179" s="3"/>
      <c r="FE179" s="3"/>
      <c r="FF179" s="3"/>
      <c r="FG179" s="3"/>
      <c r="FH179" s="3"/>
      <c r="FI179" s="3"/>
      <c r="FJ179" s="3"/>
      <c r="FK179" s="3"/>
      <c r="FL179" s="3"/>
      <c r="FM179" s="3"/>
      <c r="FN179" s="3"/>
      <c r="FO179" s="3"/>
      <c r="FP179" s="3"/>
      <c r="FQ179" s="3"/>
      <c r="FR179" s="3"/>
      <c r="FS179" s="3"/>
      <c r="FT179" s="3"/>
      <c r="FU179" s="3"/>
      <c r="FV179" s="3"/>
      <c r="FW179" s="3"/>
      <c r="FX179" s="3"/>
      <c r="FY179" s="3"/>
      <c r="FZ179" s="3"/>
      <c r="GA179" s="3"/>
      <c r="GB179" s="3"/>
      <c r="GC179" s="3"/>
      <c r="GD179" s="3"/>
      <c r="GE179" s="3"/>
    </row>
    <row r="180" spans="1:187"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c r="EY180" s="3"/>
      <c r="EZ180" s="3"/>
      <c r="FA180" s="3"/>
      <c r="FB180" s="3"/>
      <c r="FC180" s="3"/>
      <c r="FD180" s="3"/>
      <c r="FE180" s="3"/>
      <c r="FF180" s="3"/>
      <c r="FG180" s="3"/>
      <c r="FH180" s="3"/>
      <c r="FI180" s="3"/>
      <c r="FJ180" s="3"/>
      <c r="FK180" s="3"/>
      <c r="FL180" s="3"/>
      <c r="FM180" s="3"/>
      <c r="FN180" s="3"/>
      <c r="FO180" s="3"/>
      <c r="FP180" s="3"/>
      <c r="FQ180" s="3"/>
      <c r="FR180" s="3"/>
      <c r="FS180" s="3"/>
      <c r="FT180" s="3"/>
      <c r="FU180" s="3"/>
      <c r="FV180" s="3"/>
      <c r="FW180" s="3"/>
      <c r="FX180" s="3"/>
      <c r="FY180" s="3"/>
      <c r="FZ180" s="3"/>
      <c r="GA180" s="3"/>
      <c r="GB180" s="3"/>
      <c r="GC180" s="3"/>
      <c r="GD180" s="3"/>
      <c r="GE180" s="3"/>
    </row>
    <row r="181" spans="1:187"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c r="EY181" s="3"/>
      <c r="EZ181" s="3"/>
      <c r="FA181" s="3"/>
      <c r="FB181" s="3"/>
      <c r="FC181" s="3"/>
      <c r="FD181" s="3"/>
      <c r="FE181" s="3"/>
      <c r="FF181" s="3"/>
      <c r="FG181" s="3"/>
      <c r="FH181" s="3"/>
      <c r="FI181" s="3"/>
      <c r="FJ181" s="3"/>
      <c r="FK181" s="3"/>
      <c r="FL181" s="3"/>
      <c r="FM181" s="3"/>
      <c r="FN181" s="3"/>
      <c r="FO181" s="3"/>
      <c r="FP181" s="3"/>
      <c r="FQ181" s="3"/>
      <c r="FR181" s="3"/>
      <c r="FS181" s="3"/>
      <c r="FT181" s="3"/>
      <c r="FU181" s="3"/>
      <c r="FV181" s="3"/>
      <c r="FW181" s="3"/>
      <c r="FX181" s="3"/>
      <c r="FY181" s="3"/>
      <c r="FZ181" s="3"/>
      <c r="GA181" s="3"/>
      <c r="GB181" s="3"/>
      <c r="GC181" s="3"/>
      <c r="GD181" s="3"/>
      <c r="GE181" s="3"/>
    </row>
    <row r="182" spans="1:187"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c r="EY182" s="3"/>
      <c r="EZ182" s="3"/>
      <c r="FA182" s="3"/>
      <c r="FB182" s="3"/>
      <c r="FC182" s="3"/>
      <c r="FD182" s="3"/>
      <c r="FE182" s="3"/>
      <c r="FF182" s="3"/>
      <c r="FG182" s="3"/>
      <c r="FH182" s="3"/>
      <c r="FI182" s="3"/>
      <c r="FJ182" s="3"/>
      <c r="FK182" s="3"/>
      <c r="FL182" s="3"/>
      <c r="FM182" s="3"/>
      <c r="FN182" s="3"/>
      <c r="FO182" s="3"/>
      <c r="FP182" s="3"/>
      <c r="FQ182" s="3"/>
      <c r="FR182" s="3"/>
      <c r="FS182" s="3"/>
      <c r="FT182" s="3"/>
      <c r="FU182" s="3"/>
      <c r="FV182" s="3"/>
      <c r="FW182" s="3"/>
      <c r="FX182" s="3"/>
      <c r="FY182" s="3"/>
      <c r="FZ182" s="3"/>
      <c r="GA182" s="3"/>
      <c r="GB182" s="3"/>
      <c r="GC182" s="3"/>
      <c r="GD182" s="3"/>
      <c r="GE182" s="3"/>
    </row>
    <row r="183" spans="1:187"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c r="FF183" s="3"/>
      <c r="FG183" s="3"/>
      <c r="FH183" s="3"/>
      <c r="FI183" s="3"/>
      <c r="FJ183" s="3"/>
      <c r="FK183" s="3"/>
      <c r="FL183" s="3"/>
      <c r="FM183" s="3"/>
      <c r="FN183" s="3"/>
      <c r="FO183" s="3"/>
      <c r="FP183" s="3"/>
      <c r="FQ183" s="3"/>
      <c r="FR183" s="3"/>
      <c r="FS183" s="3"/>
      <c r="FT183" s="3"/>
      <c r="FU183" s="3"/>
      <c r="FV183" s="3"/>
      <c r="FW183" s="3"/>
      <c r="FX183" s="3"/>
      <c r="FY183" s="3"/>
      <c r="FZ183" s="3"/>
      <c r="GA183" s="3"/>
      <c r="GB183" s="3"/>
      <c r="GC183" s="3"/>
      <c r="GD183" s="3"/>
      <c r="GE183" s="3"/>
    </row>
    <row r="184" spans="1:187"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c r="FS184" s="3"/>
      <c r="FT184" s="3"/>
      <c r="FU184" s="3"/>
      <c r="FV184" s="3"/>
      <c r="FW184" s="3"/>
      <c r="FX184" s="3"/>
      <c r="FY184" s="3"/>
      <c r="FZ184" s="3"/>
      <c r="GA184" s="3"/>
      <c r="GB184" s="3"/>
      <c r="GC184" s="3"/>
      <c r="GD184" s="3"/>
      <c r="GE184" s="3"/>
    </row>
    <row r="185" spans="1:187"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c r="FS185" s="3"/>
      <c r="FT185" s="3"/>
      <c r="FU185" s="3"/>
      <c r="FV185" s="3"/>
      <c r="FW185" s="3"/>
      <c r="FX185" s="3"/>
      <c r="FY185" s="3"/>
      <c r="FZ185" s="3"/>
      <c r="GA185" s="3"/>
      <c r="GB185" s="3"/>
      <c r="GC185" s="3"/>
      <c r="GD185" s="3"/>
      <c r="GE185" s="3"/>
    </row>
    <row r="186" spans="1:187"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c r="FS186" s="3"/>
      <c r="FT186" s="3"/>
      <c r="FU186" s="3"/>
      <c r="FV186" s="3"/>
      <c r="FW186" s="3"/>
      <c r="FX186" s="3"/>
      <c r="FY186" s="3"/>
      <c r="FZ186" s="3"/>
      <c r="GA186" s="3"/>
      <c r="GB186" s="3"/>
      <c r="GC186" s="3"/>
      <c r="GD186" s="3"/>
      <c r="GE186" s="3"/>
    </row>
    <row r="187" spans="1:187"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c r="FS187" s="3"/>
      <c r="FT187" s="3"/>
      <c r="FU187" s="3"/>
      <c r="FV187" s="3"/>
      <c r="FW187" s="3"/>
      <c r="FX187" s="3"/>
      <c r="FY187" s="3"/>
      <c r="FZ187" s="3"/>
      <c r="GA187" s="3"/>
      <c r="GB187" s="3"/>
      <c r="GC187" s="3"/>
      <c r="GD187" s="3"/>
      <c r="GE187" s="3"/>
    </row>
    <row r="188" spans="1:187"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c r="FS188" s="3"/>
      <c r="FT188" s="3"/>
      <c r="FU188" s="3"/>
      <c r="FV188" s="3"/>
      <c r="FW188" s="3"/>
      <c r="FX188" s="3"/>
      <c r="FY188" s="3"/>
      <c r="FZ188" s="3"/>
      <c r="GA188" s="3"/>
      <c r="GB188" s="3"/>
      <c r="GC188" s="3"/>
      <c r="GD188" s="3"/>
      <c r="GE188" s="3"/>
    </row>
    <row r="189" spans="1:187"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c r="FF189" s="3"/>
      <c r="FG189" s="3"/>
      <c r="FH189" s="3"/>
      <c r="FI189" s="3"/>
      <c r="FJ189" s="3"/>
      <c r="FK189" s="3"/>
      <c r="FL189" s="3"/>
      <c r="FM189" s="3"/>
      <c r="FN189" s="3"/>
      <c r="FO189" s="3"/>
      <c r="FP189" s="3"/>
      <c r="FQ189" s="3"/>
      <c r="FR189" s="3"/>
      <c r="FS189" s="3"/>
      <c r="FT189" s="3"/>
      <c r="FU189" s="3"/>
      <c r="FV189" s="3"/>
      <c r="FW189" s="3"/>
      <c r="FX189" s="3"/>
      <c r="FY189" s="3"/>
      <c r="FZ189" s="3"/>
      <c r="GA189" s="3"/>
      <c r="GB189" s="3"/>
      <c r="GC189" s="3"/>
      <c r="GD189" s="3"/>
      <c r="GE189" s="3"/>
    </row>
    <row r="190" spans="1:187"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c r="FF190" s="3"/>
      <c r="FG190" s="3"/>
      <c r="FH190" s="3"/>
      <c r="FI190" s="3"/>
      <c r="FJ190" s="3"/>
      <c r="FK190" s="3"/>
      <c r="FL190" s="3"/>
      <c r="FM190" s="3"/>
      <c r="FN190" s="3"/>
      <c r="FO190" s="3"/>
      <c r="FP190" s="3"/>
      <c r="FQ190" s="3"/>
      <c r="FR190" s="3"/>
      <c r="FS190" s="3"/>
      <c r="FT190" s="3"/>
      <c r="FU190" s="3"/>
      <c r="FV190" s="3"/>
      <c r="FW190" s="3"/>
      <c r="FX190" s="3"/>
      <c r="FY190" s="3"/>
      <c r="FZ190" s="3"/>
      <c r="GA190" s="3"/>
      <c r="GB190" s="3"/>
      <c r="GC190" s="3"/>
      <c r="GD190" s="3"/>
      <c r="GE190" s="3"/>
    </row>
    <row r="191" spans="1:187"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c r="FF191" s="3"/>
      <c r="FG191" s="3"/>
      <c r="FH191" s="3"/>
      <c r="FI191" s="3"/>
      <c r="FJ191" s="3"/>
      <c r="FK191" s="3"/>
      <c r="FL191" s="3"/>
      <c r="FM191" s="3"/>
      <c r="FN191" s="3"/>
      <c r="FO191" s="3"/>
      <c r="FP191" s="3"/>
      <c r="FQ191" s="3"/>
      <c r="FR191" s="3"/>
      <c r="FS191" s="3"/>
      <c r="FT191" s="3"/>
      <c r="FU191" s="3"/>
      <c r="FV191" s="3"/>
      <c r="FW191" s="3"/>
      <c r="FX191" s="3"/>
      <c r="FY191" s="3"/>
      <c r="FZ191" s="3"/>
      <c r="GA191" s="3"/>
      <c r="GB191" s="3"/>
      <c r="GC191" s="3"/>
      <c r="GD191" s="3"/>
      <c r="GE191" s="3"/>
    </row>
    <row r="192" spans="1:187"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c r="EY192" s="3"/>
      <c r="EZ192" s="3"/>
      <c r="FA192" s="3"/>
      <c r="FB192" s="3"/>
      <c r="FC192" s="3"/>
      <c r="FD192" s="3"/>
      <c r="FE192" s="3"/>
      <c r="FF192" s="3"/>
      <c r="FG192" s="3"/>
      <c r="FH192" s="3"/>
      <c r="FI192" s="3"/>
      <c r="FJ192" s="3"/>
      <c r="FK192" s="3"/>
      <c r="FL192" s="3"/>
      <c r="FM192" s="3"/>
      <c r="FN192" s="3"/>
      <c r="FO192" s="3"/>
      <c r="FP192" s="3"/>
      <c r="FQ192" s="3"/>
      <c r="FR192" s="3"/>
      <c r="FS192" s="3"/>
      <c r="FT192" s="3"/>
      <c r="FU192" s="3"/>
      <c r="FV192" s="3"/>
      <c r="FW192" s="3"/>
      <c r="FX192" s="3"/>
      <c r="FY192" s="3"/>
      <c r="FZ192" s="3"/>
      <c r="GA192" s="3"/>
      <c r="GB192" s="3"/>
      <c r="GC192" s="3"/>
      <c r="GD192" s="3"/>
      <c r="GE192" s="3"/>
    </row>
    <row r="193" spans="1:187"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c r="FF193" s="3"/>
      <c r="FG193" s="3"/>
      <c r="FH193" s="3"/>
      <c r="FI193" s="3"/>
      <c r="FJ193" s="3"/>
      <c r="FK193" s="3"/>
      <c r="FL193" s="3"/>
      <c r="FM193" s="3"/>
      <c r="FN193" s="3"/>
      <c r="FO193" s="3"/>
      <c r="FP193" s="3"/>
      <c r="FQ193" s="3"/>
      <c r="FR193" s="3"/>
      <c r="FS193" s="3"/>
      <c r="FT193" s="3"/>
      <c r="FU193" s="3"/>
      <c r="FV193" s="3"/>
      <c r="FW193" s="3"/>
      <c r="FX193" s="3"/>
      <c r="FY193" s="3"/>
      <c r="FZ193" s="3"/>
      <c r="GA193" s="3"/>
      <c r="GB193" s="3"/>
      <c r="GC193" s="3"/>
      <c r="GD193" s="3"/>
      <c r="GE193" s="3"/>
    </row>
    <row r="194" spans="1:187"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c r="FF194" s="3"/>
      <c r="FG194" s="3"/>
      <c r="FH194" s="3"/>
      <c r="FI194" s="3"/>
      <c r="FJ194" s="3"/>
      <c r="FK194" s="3"/>
      <c r="FL194" s="3"/>
      <c r="FM194" s="3"/>
      <c r="FN194" s="3"/>
      <c r="FO194" s="3"/>
      <c r="FP194" s="3"/>
      <c r="FQ194" s="3"/>
      <c r="FR194" s="3"/>
      <c r="FS194" s="3"/>
      <c r="FT194" s="3"/>
      <c r="FU194" s="3"/>
      <c r="FV194" s="3"/>
      <c r="FW194" s="3"/>
      <c r="FX194" s="3"/>
      <c r="FY194" s="3"/>
      <c r="FZ194" s="3"/>
      <c r="GA194" s="3"/>
      <c r="GB194" s="3"/>
      <c r="GC194" s="3"/>
      <c r="GD194" s="3"/>
      <c r="GE194" s="3"/>
    </row>
    <row r="195" spans="1:187"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3"/>
      <c r="FD195" s="3"/>
      <c r="FE195" s="3"/>
      <c r="FF195" s="3"/>
      <c r="FG195" s="3"/>
      <c r="FH195" s="3"/>
      <c r="FI195" s="3"/>
      <c r="FJ195" s="3"/>
      <c r="FK195" s="3"/>
      <c r="FL195" s="3"/>
      <c r="FM195" s="3"/>
      <c r="FN195" s="3"/>
      <c r="FO195" s="3"/>
      <c r="FP195" s="3"/>
      <c r="FQ195" s="3"/>
      <c r="FR195" s="3"/>
      <c r="FS195" s="3"/>
      <c r="FT195" s="3"/>
      <c r="FU195" s="3"/>
      <c r="FV195" s="3"/>
      <c r="FW195" s="3"/>
      <c r="FX195" s="3"/>
      <c r="FY195" s="3"/>
      <c r="FZ195" s="3"/>
      <c r="GA195" s="3"/>
      <c r="GB195" s="3"/>
      <c r="GC195" s="3"/>
      <c r="GD195" s="3"/>
      <c r="GE195" s="3"/>
    </row>
    <row r="196" spans="1:187"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c r="FF196" s="3"/>
      <c r="FG196" s="3"/>
      <c r="FH196" s="3"/>
      <c r="FI196" s="3"/>
      <c r="FJ196" s="3"/>
      <c r="FK196" s="3"/>
      <c r="FL196" s="3"/>
      <c r="FM196" s="3"/>
      <c r="FN196" s="3"/>
      <c r="FO196" s="3"/>
      <c r="FP196" s="3"/>
      <c r="FQ196" s="3"/>
      <c r="FR196" s="3"/>
      <c r="FS196" s="3"/>
      <c r="FT196" s="3"/>
      <c r="FU196" s="3"/>
      <c r="FV196" s="3"/>
      <c r="FW196" s="3"/>
      <c r="FX196" s="3"/>
      <c r="FY196" s="3"/>
      <c r="FZ196" s="3"/>
      <c r="GA196" s="3"/>
      <c r="GB196" s="3"/>
      <c r="GC196" s="3"/>
      <c r="GD196" s="3"/>
      <c r="GE196" s="3"/>
    </row>
    <row r="197" spans="1:187"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3"/>
      <c r="FD197" s="3"/>
      <c r="FE197" s="3"/>
      <c r="FF197" s="3"/>
      <c r="FG197" s="3"/>
      <c r="FH197" s="3"/>
      <c r="FI197" s="3"/>
      <c r="FJ197" s="3"/>
      <c r="FK197" s="3"/>
      <c r="FL197" s="3"/>
      <c r="FM197" s="3"/>
      <c r="FN197" s="3"/>
      <c r="FO197" s="3"/>
      <c r="FP197" s="3"/>
      <c r="FQ197" s="3"/>
      <c r="FR197" s="3"/>
      <c r="FS197" s="3"/>
      <c r="FT197" s="3"/>
      <c r="FU197" s="3"/>
      <c r="FV197" s="3"/>
      <c r="FW197" s="3"/>
      <c r="FX197" s="3"/>
      <c r="FY197" s="3"/>
      <c r="FZ197" s="3"/>
      <c r="GA197" s="3"/>
      <c r="GB197" s="3"/>
      <c r="GC197" s="3"/>
      <c r="GD197" s="3"/>
      <c r="GE197" s="3"/>
    </row>
    <row r="198" spans="1:187"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c r="FF198" s="3"/>
      <c r="FG198" s="3"/>
      <c r="FH198" s="3"/>
      <c r="FI198" s="3"/>
      <c r="FJ198" s="3"/>
      <c r="FK198" s="3"/>
      <c r="FL198" s="3"/>
      <c r="FM198" s="3"/>
      <c r="FN198" s="3"/>
      <c r="FO198" s="3"/>
      <c r="FP198" s="3"/>
      <c r="FQ198" s="3"/>
      <c r="FR198" s="3"/>
      <c r="FS198" s="3"/>
      <c r="FT198" s="3"/>
      <c r="FU198" s="3"/>
      <c r="FV198" s="3"/>
      <c r="FW198" s="3"/>
      <c r="FX198" s="3"/>
      <c r="FY198" s="3"/>
      <c r="FZ198" s="3"/>
      <c r="GA198" s="3"/>
      <c r="GB198" s="3"/>
      <c r="GC198" s="3"/>
      <c r="GD198" s="3"/>
      <c r="GE198" s="3"/>
    </row>
    <row r="199" spans="1:187"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3"/>
      <c r="FD199" s="3"/>
      <c r="FE199" s="3"/>
      <c r="FF199" s="3"/>
      <c r="FG199" s="3"/>
      <c r="FH199" s="3"/>
      <c r="FI199" s="3"/>
      <c r="FJ199" s="3"/>
      <c r="FK199" s="3"/>
      <c r="FL199" s="3"/>
      <c r="FM199" s="3"/>
      <c r="FN199" s="3"/>
      <c r="FO199" s="3"/>
      <c r="FP199" s="3"/>
      <c r="FQ199" s="3"/>
      <c r="FR199" s="3"/>
      <c r="FS199" s="3"/>
      <c r="FT199" s="3"/>
      <c r="FU199" s="3"/>
      <c r="FV199" s="3"/>
      <c r="FW199" s="3"/>
      <c r="FX199" s="3"/>
      <c r="FY199" s="3"/>
      <c r="FZ199" s="3"/>
      <c r="GA199" s="3"/>
      <c r="GB199" s="3"/>
      <c r="GC199" s="3"/>
      <c r="GD199" s="3"/>
      <c r="GE199" s="3"/>
    </row>
    <row r="200" spans="1:187"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3"/>
      <c r="FD200" s="3"/>
      <c r="FE200" s="3"/>
      <c r="FF200" s="3"/>
      <c r="FG200" s="3"/>
      <c r="FH200" s="3"/>
      <c r="FI200" s="3"/>
      <c r="FJ200" s="3"/>
      <c r="FK200" s="3"/>
      <c r="FL200" s="3"/>
      <c r="FM200" s="3"/>
      <c r="FN200" s="3"/>
      <c r="FO200" s="3"/>
      <c r="FP200" s="3"/>
      <c r="FQ200" s="3"/>
      <c r="FR200" s="3"/>
      <c r="FS200" s="3"/>
      <c r="FT200" s="3"/>
      <c r="FU200" s="3"/>
      <c r="FV200" s="3"/>
      <c r="FW200" s="3"/>
      <c r="FX200" s="3"/>
      <c r="FY200" s="3"/>
      <c r="FZ200" s="3"/>
      <c r="GA200" s="3"/>
      <c r="GB200" s="3"/>
      <c r="GC200" s="3"/>
      <c r="GD200" s="3"/>
      <c r="GE200" s="3"/>
    </row>
    <row r="201" spans="1:187"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c r="FF201" s="3"/>
      <c r="FG201" s="3"/>
      <c r="FH201" s="3"/>
      <c r="FI201" s="3"/>
      <c r="FJ201" s="3"/>
      <c r="FK201" s="3"/>
      <c r="FL201" s="3"/>
      <c r="FM201" s="3"/>
      <c r="FN201" s="3"/>
      <c r="FO201" s="3"/>
      <c r="FP201" s="3"/>
      <c r="FQ201" s="3"/>
      <c r="FR201" s="3"/>
      <c r="FS201" s="3"/>
      <c r="FT201" s="3"/>
      <c r="FU201" s="3"/>
      <c r="FV201" s="3"/>
      <c r="FW201" s="3"/>
      <c r="FX201" s="3"/>
      <c r="FY201" s="3"/>
      <c r="FZ201" s="3"/>
      <c r="GA201" s="3"/>
      <c r="GB201" s="3"/>
      <c r="GC201" s="3"/>
      <c r="GD201" s="3"/>
      <c r="GE201" s="3"/>
    </row>
    <row r="202" spans="1:187"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c r="FF202" s="3"/>
      <c r="FG202" s="3"/>
      <c r="FH202" s="3"/>
      <c r="FI202" s="3"/>
      <c r="FJ202" s="3"/>
      <c r="FK202" s="3"/>
      <c r="FL202" s="3"/>
      <c r="FM202" s="3"/>
      <c r="FN202" s="3"/>
      <c r="FO202" s="3"/>
      <c r="FP202" s="3"/>
      <c r="FQ202" s="3"/>
      <c r="FR202" s="3"/>
      <c r="FS202" s="3"/>
      <c r="FT202" s="3"/>
      <c r="FU202" s="3"/>
      <c r="FV202" s="3"/>
      <c r="FW202" s="3"/>
      <c r="FX202" s="3"/>
      <c r="FY202" s="3"/>
      <c r="FZ202" s="3"/>
      <c r="GA202" s="3"/>
      <c r="GB202" s="3"/>
      <c r="GC202" s="3"/>
      <c r="GD202" s="3"/>
      <c r="GE202" s="3"/>
    </row>
    <row r="203" spans="1:187"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3"/>
      <c r="FD203" s="3"/>
      <c r="FE203" s="3"/>
      <c r="FF203" s="3"/>
      <c r="FG203" s="3"/>
      <c r="FH203" s="3"/>
      <c r="FI203" s="3"/>
      <c r="FJ203" s="3"/>
      <c r="FK203" s="3"/>
      <c r="FL203" s="3"/>
      <c r="FM203" s="3"/>
      <c r="FN203" s="3"/>
      <c r="FO203" s="3"/>
      <c r="FP203" s="3"/>
      <c r="FQ203" s="3"/>
      <c r="FR203" s="3"/>
      <c r="FS203" s="3"/>
      <c r="FT203" s="3"/>
      <c r="FU203" s="3"/>
      <c r="FV203" s="3"/>
      <c r="FW203" s="3"/>
      <c r="FX203" s="3"/>
      <c r="FY203" s="3"/>
      <c r="FZ203" s="3"/>
      <c r="GA203" s="3"/>
      <c r="GB203" s="3"/>
      <c r="GC203" s="3"/>
      <c r="GD203" s="3"/>
      <c r="GE203" s="3"/>
    </row>
    <row r="204" spans="1:187"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3"/>
      <c r="FD204" s="3"/>
      <c r="FE204" s="3"/>
      <c r="FF204" s="3"/>
      <c r="FG204" s="3"/>
      <c r="FH204" s="3"/>
      <c r="FI204" s="3"/>
      <c r="FJ204" s="3"/>
      <c r="FK204" s="3"/>
      <c r="FL204" s="3"/>
      <c r="FM204" s="3"/>
      <c r="FN204" s="3"/>
      <c r="FO204" s="3"/>
      <c r="FP204" s="3"/>
      <c r="FQ204" s="3"/>
      <c r="FR204" s="3"/>
      <c r="FS204" s="3"/>
      <c r="FT204" s="3"/>
      <c r="FU204" s="3"/>
      <c r="FV204" s="3"/>
      <c r="FW204" s="3"/>
      <c r="FX204" s="3"/>
      <c r="FY204" s="3"/>
      <c r="FZ204" s="3"/>
      <c r="GA204" s="3"/>
      <c r="GB204" s="3"/>
      <c r="GC204" s="3"/>
      <c r="GD204" s="3"/>
      <c r="GE204" s="3"/>
    </row>
    <row r="205" spans="1:187"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3"/>
      <c r="FD205" s="3"/>
      <c r="FE205" s="3"/>
      <c r="FF205" s="3"/>
      <c r="FG205" s="3"/>
      <c r="FH205" s="3"/>
      <c r="FI205" s="3"/>
      <c r="FJ205" s="3"/>
      <c r="FK205" s="3"/>
      <c r="FL205" s="3"/>
      <c r="FM205" s="3"/>
      <c r="FN205" s="3"/>
      <c r="FO205" s="3"/>
      <c r="FP205" s="3"/>
      <c r="FQ205" s="3"/>
      <c r="FR205" s="3"/>
      <c r="FS205" s="3"/>
      <c r="FT205" s="3"/>
      <c r="FU205" s="3"/>
      <c r="FV205" s="3"/>
      <c r="FW205" s="3"/>
      <c r="FX205" s="3"/>
      <c r="FY205" s="3"/>
      <c r="FZ205" s="3"/>
      <c r="GA205" s="3"/>
      <c r="GB205" s="3"/>
      <c r="GC205" s="3"/>
      <c r="GD205" s="3"/>
      <c r="GE205" s="3"/>
    </row>
    <row r="206" spans="1:187"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3"/>
      <c r="FD206" s="3"/>
      <c r="FE206" s="3"/>
      <c r="FF206" s="3"/>
      <c r="FG206" s="3"/>
      <c r="FH206" s="3"/>
      <c r="FI206" s="3"/>
      <c r="FJ206" s="3"/>
      <c r="FK206" s="3"/>
      <c r="FL206" s="3"/>
      <c r="FM206" s="3"/>
      <c r="FN206" s="3"/>
      <c r="FO206" s="3"/>
      <c r="FP206" s="3"/>
      <c r="FQ206" s="3"/>
      <c r="FR206" s="3"/>
      <c r="FS206" s="3"/>
      <c r="FT206" s="3"/>
      <c r="FU206" s="3"/>
      <c r="FV206" s="3"/>
      <c r="FW206" s="3"/>
      <c r="FX206" s="3"/>
      <c r="FY206" s="3"/>
      <c r="FZ206" s="3"/>
      <c r="GA206" s="3"/>
      <c r="GB206" s="3"/>
      <c r="GC206" s="3"/>
      <c r="GD206" s="3"/>
      <c r="GE206" s="3"/>
    </row>
    <row r="207" spans="1:187"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c r="FS207" s="3"/>
      <c r="FT207" s="3"/>
      <c r="FU207" s="3"/>
      <c r="FV207" s="3"/>
      <c r="FW207" s="3"/>
      <c r="FX207" s="3"/>
      <c r="FY207" s="3"/>
      <c r="FZ207" s="3"/>
      <c r="GA207" s="3"/>
      <c r="GB207" s="3"/>
      <c r="GC207" s="3"/>
      <c r="GD207" s="3"/>
      <c r="GE207" s="3"/>
    </row>
    <row r="208" spans="1:187"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c r="FS208" s="3"/>
      <c r="FT208" s="3"/>
      <c r="FU208" s="3"/>
      <c r="FV208" s="3"/>
      <c r="FW208" s="3"/>
      <c r="FX208" s="3"/>
      <c r="FY208" s="3"/>
      <c r="FZ208" s="3"/>
      <c r="GA208" s="3"/>
      <c r="GB208" s="3"/>
      <c r="GC208" s="3"/>
      <c r="GD208" s="3"/>
      <c r="GE208" s="3"/>
    </row>
    <row r="209" spans="1:187"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3"/>
      <c r="FD209" s="3"/>
      <c r="FE209" s="3"/>
      <c r="FF209" s="3"/>
      <c r="FG209" s="3"/>
      <c r="FH209" s="3"/>
      <c r="FI209" s="3"/>
      <c r="FJ209" s="3"/>
      <c r="FK209" s="3"/>
      <c r="FL209" s="3"/>
      <c r="FM209" s="3"/>
      <c r="FN209" s="3"/>
      <c r="FO209" s="3"/>
      <c r="FP209" s="3"/>
      <c r="FQ209" s="3"/>
      <c r="FR209" s="3"/>
      <c r="FS209" s="3"/>
      <c r="FT209" s="3"/>
      <c r="FU209" s="3"/>
      <c r="FV209" s="3"/>
      <c r="FW209" s="3"/>
      <c r="FX209" s="3"/>
      <c r="FY209" s="3"/>
      <c r="FZ209" s="3"/>
      <c r="GA209" s="3"/>
      <c r="GB209" s="3"/>
      <c r="GC209" s="3"/>
      <c r="GD209" s="3"/>
      <c r="GE209" s="3"/>
    </row>
    <row r="210" spans="1:187"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3"/>
      <c r="FD210" s="3"/>
      <c r="FE210" s="3"/>
      <c r="FF210" s="3"/>
      <c r="FG210" s="3"/>
      <c r="FH210" s="3"/>
      <c r="FI210" s="3"/>
      <c r="FJ210" s="3"/>
      <c r="FK210" s="3"/>
      <c r="FL210" s="3"/>
      <c r="FM210" s="3"/>
      <c r="FN210" s="3"/>
      <c r="FO210" s="3"/>
      <c r="FP210" s="3"/>
      <c r="FQ210" s="3"/>
      <c r="FR210" s="3"/>
      <c r="FS210" s="3"/>
      <c r="FT210" s="3"/>
      <c r="FU210" s="3"/>
      <c r="FV210" s="3"/>
      <c r="FW210" s="3"/>
      <c r="FX210" s="3"/>
      <c r="FY210" s="3"/>
      <c r="FZ210" s="3"/>
      <c r="GA210" s="3"/>
      <c r="GB210" s="3"/>
      <c r="GC210" s="3"/>
      <c r="GD210" s="3"/>
      <c r="GE210" s="3"/>
    </row>
    <row r="211" spans="1:187"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3"/>
      <c r="FD211" s="3"/>
      <c r="FE211" s="3"/>
      <c r="FF211" s="3"/>
      <c r="FG211" s="3"/>
      <c r="FH211" s="3"/>
      <c r="FI211" s="3"/>
      <c r="FJ211" s="3"/>
      <c r="FK211" s="3"/>
      <c r="FL211" s="3"/>
      <c r="FM211" s="3"/>
      <c r="FN211" s="3"/>
      <c r="FO211" s="3"/>
      <c r="FP211" s="3"/>
      <c r="FQ211" s="3"/>
      <c r="FR211" s="3"/>
      <c r="FS211" s="3"/>
      <c r="FT211" s="3"/>
      <c r="FU211" s="3"/>
      <c r="FV211" s="3"/>
      <c r="FW211" s="3"/>
      <c r="FX211" s="3"/>
      <c r="FY211" s="3"/>
      <c r="FZ211" s="3"/>
      <c r="GA211" s="3"/>
      <c r="GB211" s="3"/>
      <c r="GC211" s="3"/>
      <c r="GD211" s="3"/>
      <c r="GE211" s="3"/>
    </row>
    <row r="212" spans="1:187"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3"/>
      <c r="FD212" s="3"/>
      <c r="FE212" s="3"/>
      <c r="FF212" s="3"/>
      <c r="FG212" s="3"/>
      <c r="FH212" s="3"/>
      <c r="FI212" s="3"/>
      <c r="FJ212" s="3"/>
      <c r="FK212" s="3"/>
      <c r="FL212" s="3"/>
      <c r="FM212" s="3"/>
      <c r="FN212" s="3"/>
      <c r="FO212" s="3"/>
      <c r="FP212" s="3"/>
      <c r="FQ212" s="3"/>
      <c r="FR212" s="3"/>
      <c r="FS212" s="3"/>
      <c r="FT212" s="3"/>
      <c r="FU212" s="3"/>
      <c r="FV212" s="3"/>
      <c r="FW212" s="3"/>
      <c r="FX212" s="3"/>
      <c r="FY212" s="3"/>
      <c r="FZ212" s="3"/>
      <c r="GA212" s="3"/>
      <c r="GB212" s="3"/>
      <c r="GC212" s="3"/>
      <c r="GD212" s="3"/>
      <c r="GE212" s="3"/>
    </row>
    <row r="213" spans="1:187"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c r="FF213" s="3"/>
      <c r="FG213" s="3"/>
      <c r="FH213" s="3"/>
      <c r="FI213" s="3"/>
      <c r="FJ213" s="3"/>
      <c r="FK213" s="3"/>
      <c r="FL213" s="3"/>
      <c r="FM213" s="3"/>
      <c r="FN213" s="3"/>
      <c r="FO213" s="3"/>
      <c r="FP213" s="3"/>
      <c r="FQ213" s="3"/>
      <c r="FR213" s="3"/>
      <c r="FS213" s="3"/>
      <c r="FT213" s="3"/>
      <c r="FU213" s="3"/>
      <c r="FV213" s="3"/>
      <c r="FW213" s="3"/>
      <c r="FX213" s="3"/>
      <c r="FY213" s="3"/>
      <c r="FZ213" s="3"/>
      <c r="GA213" s="3"/>
      <c r="GB213" s="3"/>
      <c r="GC213" s="3"/>
      <c r="GD213" s="3"/>
      <c r="GE213" s="3"/>
    </row>
    <row r="214" spans="1:187"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3"/>
      <c r="FD214" s="3"/>
      <c r="FE214" s="3"/>
      <c r="FF214" s="3"/>
      <c r="FG214" s="3"/>
      <c r="FH214" s="3"/>
      <c r="FI214" s="3"/>
      <c r="FJ214" s="3"/>
      <c r="FK214" s="3"/>
      <c r="FL214" s="3"/>
      <c r="FM214" s="3"/>
      <c r="FN214" s="3"/>
      <c r="FO214" s="3"/>
      <c r="FP214" s="3"/>
      <c r="FQ214" s="3"/>
      <c r="FR214" s="3"/>
      <c r="FS214" s="3"/>
      <c r="FT214" s="3"/>
      <c r="FU214" s="3"/>
      <c r="FV214" s="3"/>
      <c r="FW214" s="3"/>
      <c r="FX214" s="3"/>
      <c r="FY214" s="3"/>
      <c r="FZ214" s="3"/>
      <c r="GA214" s="3"/>
      <c r="GB214" s="3"/>
      <c r="GC214" s="3"/>
      <c r="GD214" s="3"/>
      <c r="GE214" s="3"/>
    </row>
    <row r="215" spans="1:187"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c r="FF215" s="3"/>
      <c r="FG215" s="3"/>
      <c r="FH215" s="3"/>
      <c r="FI215" s="3"/>
      <c r="FJ215" s="3"/>
      <c r="FK215" s="3"/>
      <c r="FL215" s="3"/>
      <c r="FM215" s="3"/>
      <c r="FN215" s="3"/>
      <c r="FO215" s="3"/>
      <c r="FP215" s="3"/>
      <c r="FQ215" s="3"/>
      <c r="FR215" s="3"/>
      <c r="FS215" s="3"/>
      <c r="FT215" s="3"/>
      <c r="FU215" s="3"/>
      <c r="FV215" s="3"/>
      <c r="FW215" s="3"/>
      <c r="FX215" s="3"/>
      <c r="FY215" s="3"/>
      <c r="FZ215" s="3"/>
      <c r="GA215" s="3"/>
      <c r="GB215" s="3"/>
      <c r="GC215" s="3"/>
      <c r="GD215" s="3"/>
      <c r="GE215" s="3"/>
    </row>
    <row r="216" spans="1:187"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3"/>
      <c r="FD216" s="3"/>
      <c r="FE216" s="3"/>
      <c r="FF216" s="3"/>
      <c r="FG216" s="3"/>
      <c r="FH216" s="3"/>
      <c r="FI216" s="3"/>
      <c r="FJ216" s="3"/>
      <c r="FK216" s="3"/>
      <c r="FL216" s="3"/>
      <c r="FM216" s="3"/>
      <c r="FN216" s="3"/>
      <c r="FO216" s="3"/>
      <c r="FP216" s="3"/>
      <c r="FQ216" s="3"/>
      <c r="FR216" s="3"/>
      <c r="FS216" s="3"/>
      <c r="FT216" s="3"/>
      <c r="FU216" s="3"/>
      <c r="FV216" s="3"/>
      <c r="FW216" s="3"/>
      <c r="FX216" s="3"/>
      <c r="FY216" s="3"/>
      <c r="FZ216" s="3"/>
      <c r="GA216" s="3"/>
      <c r="GB216" s="3"/>
      <c r="GC216" s="3"/>
      <c r="GD216" s="3"/>
      <c r="GE216" s="3"/>
    </row>
    <row r="217" spans="1:187"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c r="FF217" s="3"/>
      <c r="FG217" s="3"/>
      <c r="FH217" s="3"/>
      <c r="FI217" s="3"/>
      <c r="FJ217" s="3"/>
      <c r="FK217" s="3"/>
      <c r="FL217" s="3"/>
      <c r="FM217" s="3"/>
      <c r="FN217" s="3"/>
      <c r="FO217" s="3"/>
      <c r="FP217" s="3"/>
      <c r="FQ217" s="3"/>
      <c r="FR217" s="3"/>
      <c r="FS217" s="3"/>
      <c r="FT217" s="3"/>
      <c r="FU217" s="3"/>
      <c r="FV217" s="3"/>
      <c r="FW217" s="3"/>
      <c r="FX217" s="3"/>
      <c r="FY217" s="3"/>
      <c r="FZ217" s="3"/>
      <c r="GA217" s="3"/>
      <c r="GB217" s="3"/>
      <c r="GC217" s="3"/>
      <c r="GD217" s="3"/>
      <c r="GE217" s="3"/>
    </row>
    <row r="218" spans="1:187"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3"/>
      <c r="FD218" s="3"/>
      <c r="FE218" s="3"/>
      <c r="FF218" s="3"/>
      <c r="FG218" s="3"/>
      <c r="FH218" s="3"/>
      <c r="FI218" s="3"/>
      <c r="FJ218" s="3"/>
      <c r="FK218" s="3"/>
      <c r="FL218" s="3"/>
      <c r="FM218" s="3"/>
      <c r="FN218" s="3"/>
      <c r="FO218" s="3"/>
      <c r="FP218" s="3"/>
      <c r="FQ218" s="3"/>
      <c r="FR218" s="3"/>
      <c r="FS218" s="3"/>
      <c r="FT218" s="3"/>
      <c r="FU218" s="3"/>
      <c r="FV218" s="3"/>
      <c r="FW218" s="3"/>
      <c r="FX218" s="3"/>
      <c r="FY218" s="3"/>
      <c r="FZ218" s="3"/>
      <c r="GA218" s="3"/>
      <c r="GB218" s="3"/>
      <c r="GC218" s="3"/>
      <c r="GD218" s="3"/>
      <c r="GE218" s="3"/>
    </row>
    <row r="219" spans="1:187"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c r="FS219" s="3"/>
      <c r="FT219" s="3"/>
      <c r="FU219" s="3"/>
      <c r="FV219" s="3"/>
      <c r="FW219" s="3"/>
      <c r="FX219" s="3"/>
      <c r="FY219" s="3"/>
      <c r="FZ219" s="3"/>
      <c r="GA219" s="3"/>
      <c r="GB219" s="3"/>
      <c r="GC219" s="3"/>
      <c r="GD219" s="3"/>
      <c r="GE219" s="3"/>
    </row>
    <row r="220" spans="1:187"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c r="FZ220" s="3"/>
      <c r="GA220" s="3"/>
      <c r="GB220" s="3"/>
      <c r="GC220" s="3"/>
      <c r="GD220" s="3"/>
      <c r="GE220" s="3"/>
    </row>
    <row r="221" spans="1:187"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c r="FF221" s="3"/>
      <c r="FG221" s="3"/>
      <c r="FH221" s="3"/>
      <c r="FI221" s="3"/>
      <c r="FJ221" s="3"/>
      <c r="FK221" s="3"/>
      <c r="FL221" s="3"/>
      <c r="FM221" s="3"/>
      <c r="FN221" s="3"/>
      <c r="FO221" s="3"/>
      <c r="FP221" s="3"/>
      <c r="FQ221" s="3"/>
      <c r="FR221" s="3"/>
      <c r="FS221" s="3"/>
      <c r="FT221" s="3"/>
      <c r="FU221" s="3"/>
      <c r="FV221" s="3"/>
      <c r="FW221" s="3"/>
      <c r="FX221" s="3"/>
      <c r="FY221" s="3"/>
      <c r="FZ221" s="3"/>
      <c r="GA221" s="3"/>
      <c r="GB221" s="3"/>
      <c r="GC221" s="3"/>
      <c r="GD221" s="3"/>
      <c r="GE221" s="3"/>
    </row>
    <row r="222" spans="1:187"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c r="FF222" s="3"/>
      <c r="FG222" s="3"/>
      <c r="FH222" s="3"/>
      <c r="FI222" s="3"/>
      <c r="FJ222" s="3"/>
      <c r="FK222" s="3"/>
      <c r="FL222" s="3"/>
      <c r="FM222" s="3"/>
      <c r="FN222" s="3"/>
      <c r="FO222" s="3"/>
      <c r="FP222" s="3"/>
      <c r="FQ222" s="3"/>
      <c r="FR222" s="3"/>
      <c r="FS222" s="3"/>
      <c r="FT222" s="3"/>
      <c r="FU222" s="3"/>
      <c r="FV222" s="3"/>
      <c r="FW222" s="3"/>
      <c r="FX222" s="3"/>
      <c r="FY222" s="3"/>
      <c r="FZ222" s="3"/>
      <c r="GA222" s="3"/>
      <c r="GB222" s="3"/>
      <c r="GC222" s="3"/>
      <c r="GD222" s="3"/>
      <c r="GE222" s="3"/>
    </row>
    <row r="223" spans="1:187"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c r="FF223" s="3"/>
      <c r="FG223" s="3"/>
      <c r="FH223" s="3"/>
      <c r="FI223" s="3"/>
      <c r="FJ223" s="3"/>
      <c r="FK223" s="3"/>
      <c r="FL223" s="3"/>
      <c r="FM223" s="3"/>
      <c r="FN223" s="3"/>
      <c r="FO223" s="3"/>
      <c r="FP223" s="3"/>
      <c r="FQ223" s="3"/>
      <c r="FR223" s="3"/>
      <c r="FS223" s="3"/>
      <c r="FT223" s="3"/>
      <c r="FU223" s="3"/>
      <c r="FV223" s="3"/>
      <c r="FW223" s="3"/>
      <c r="FX223" s="3"/>
      <c r="FY223" s="3"/>
      <c r="FZ223" s="3"/>
      <c r="GA223" s="3"/>
      <c r="GB223" s="3"/>
      <c r="GC223" s="3"/>
      <c r="GD223" s="3"/>
      <c r="GE223" s="3"/>
    </row>
    <row r="224" spans="1:187"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c r="FF224" s="3"/>
      <c r="FG224" s="3"/>
      <c r="FH224" s="3"/>
      <c r="FI224" s="3"/>
      <c r="FJ224" s="3"/>
      <c r="FK224" s="3"/>
      <c r="FL224" s="3"/>
      <c r="FM224" s="3"/>
      <c r="FN224" s="3"/>
      <c r="FO224" s="3"/>
      <c r="FP224" s="3"/>
      <c r="FQ224" s="3"/>
      <c r="FR224" s="3"/>
      <c r="FS224" s="3"/>
      <c r="FT224" s="3"/>
      <c r="FU224" s="3"/>
      <c r="FV224" s="3"/>
      <c r="FW224" s="3"/>
      <c r="FX224" s="3"/>
      <c r="FY224" s="3"/>
      <c r="FZ224" s="3"/>
      <c r="GA224" s="3"/>
      <c r="GB224" s="3"/>
      <c r="GC224" s="3"/>
      <c r="GD224" s="3"/>
      <c r="GE224" s="3"/>
    </row>
    <row r="225" spans="1:187"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c r="FF225" s="3"/>
      <c r="FG225" s="3"/>
      <c r="FH225" s="3"/>
      <c r="FI225" s="3"/>
      <c r="FJ225" s="3"/>
      <c r="FK225" s="3"/>
      <c r="FL225" s="3"/>
      <c r="FM225" s="3"/>
      <c r="FN225" s="3"/>
      <c r="FO225" s="3"/>
      <c r="FP225" s="3"/>
      <c r="FQ225" s="3"/>
      <c r="FR225" s="3"/>
      <c r="FS225" s="3"/>
      <c r="FT225" s="3"/>
      <c r="FU225" s="3"/>
      <c r="FV225" s="3"/>
      <c r="FW225" s="3"/>
      <c r="FX225" s="3"/>
      <c r="FY225" s="3"/>
      <c r="FZ225" s="3"/>
      <c r="GA225" s="3"/>
      <c r="GB225" s="3"/>
      <c r="GC225" s="3"/>
      <c r="GD225" s="3"/>
      <c r="GE225" s="3"/>
    </row>
    <row r="226" spans="1:187"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c r="EY226" s="3"/>
      <c r="EZ226" s="3"/>
      <c r="FA226" s="3"/>
      <c r="FB226" s="3"/>
      <c r="FC226" s="3"/>
      <c r="FD226" s="3"/>
      <c r="FE226" s="3"/>
      <c r="FF226" s="3"/>
      <c r="FG226" s="3"/>
      <c r="FH226" s="3"/>
      <c r="FI226" s="3"/>
      <c r="FJ226" s="3"/>
      <c r="FK226" s="3"/>
      <c r="FL226" s="3"/>
      <c r="FM226" s="3"/>
      <c r="FN226" s="3"/>
      <c r="FO226" s="3"/>
      <c r="FP226" s="3"/>
      <c r="FQ226" s="3"/>
      <c r="FR226" s="3"/>
      <c r="FS226" s="3"/>
      <c r="FT226" s="3"/>
      <c r="FU226" s="3"/>
      <c r="FV226" s="3"/>
      <c r="FW226" s="3"/>
      <c r="FX226" s="3"/>
      <c r="FY226" s="3"/>
      <c r="FZ226" s="3"/>
      <c r="GA226" s="3"/>
      <c r="GB226" s="3"/>
      <c r="GC226" s="3"/>
      <c r="GD226" s="3"/>
      <c r="GE226" s="3"/>
    </row>
    <row r="227" spans="1:187"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c r="FF227" s="3"/>
      <c r="FG227" s="3"/>
      <c r="FH227" s="3"/>
      <c r="FI227" s="3"/>
      <c r="FJ227" s="3"/>
      <c r="FK227" s="3"/>
      <c r="FL227" s="3"/>
      <c r="FM227" s="3"/>
      <c r="FN227" s="3"/>
      <c r="FO227" s="3"/>
      <c r="FP227" s="3"/>
      <c r="FQ227" s="3"/>
      <c r="FR227" s="3"/>
      <c r="FS227" s="3"/>
      <c r="FT227" s="3"/>
      <c r="FU227" s="3"/>
      <c r="FV227" s="3"/>
      <c r="FW227" s="3"/>
      <c r="FX227" s="3"/>
      <c r="FY227" s="3"/>
      <c r="FZ227" s="3"/>
      <c r="GA227" s="3"/>
      <c r="GB227" s="3"/>
      <c r="GC227" s="3"/>
      <c r="GD227" s="3"/>
      <c r="GE227" s="3"/>
    </row>
    <row r="228" spans="1:187"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c r="EY228" s="3"/>
      <c r="EZ228" s="3"/>
      <c r="FA228" s="3"/>
      <c r="FB228" s="3"/>
      <c r="FC228" s="3"/>
      <c r="FD228" s="3"/>
      <c r="FE228" s="3"/>
      <c r="FF228" s="3"/>
      <c r="FG228" s="3"/>
      <c r="FH228" s="3"/>
      <c r="FI228" s="3"/>
      <c r="FJ228" s="3"/>
      <c r="FK228" s="3"/>
      <c r="FL228" s="3"/>
      <c r="FM228" s="3"/>
      <c r="FN228" s="3"/>
      <c r="FO228" s="3"/>
      <c r="FP228" s="3"/>
      <c r="FQ228" s="3"/>
      <c r="FR228" s="3"/>
      <c r="FS228" s="3"/>
      <c r="FT228" s="3"/>
      <c r="FU228" s="3"/>
      <c r="FV228" s="3"/>
      <c r="FW228" s="3"/>
      <c r="FX228" s="3"/>
      <c r="FY228" s="3"/>
      <c r="FZ228" s="3"/>
      <c r="GA228" s="3"/>
      <c r="GB228" s="3"/>
      <c r="GC228" s="3"/>
      <c r="GD228" s="3"/>
      <c r="GE228" s="3"/>
    </row>
    <row r="229" spans="1:187"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c r="EY229" s="3"/>
      <c r="EZ229" s="3"/>
      <c r="FA229" s="3"/>
      <c r="FB229" s="3"/>
      <c r="FC229" s="3"/>
      <c r="FD229" s="3"/>
      <c r="FE229" s="3"/>
      <c r="FF229" s="3"/>
      <c r="FG229" s="3"/>
      <c r="FH229" s="3"/>
      <c r="FI229" s="3"/>
      <c r="FJ229" s="3"/>
      <c r="FK229" s="3"/>
      <c r="FL229" s="3"/>
      <c r="FM229" s="3"/>
      <c r="FN229" s="3"/>
      <c r="FO229" s="3"/>
      <c r="FP229" s="3"/>
      <c r="FQ229" s="3"/>
      <c r="FR229" s="3"/>
      <c r="FS229" s="3"/>
      <c r="FT229" s="3"/>
      <c r="FU229" s="3"/>
      <c r="FV229" s="3"/>
      <c r="FW229" s="3"/>
      <c r="FX229" s="3"/>
      <c r="FY229" s="3"/>
      <c r="FZ229" s="3"/>
      <c r="GA229" s="3"/>
      <c r="GB229" s="3"/>
      <c r="GC229" s="3"/>
      <c r="GD229" s="3"/>
      <c r="GE229" s="3"/>
    </row>
    <row r="230" spans="1:187"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c r="EY230" s="3"/>
      <c r="EZ230" s="3"/>
      <c r="FA230" s="3"/>
      <c r="FB230" s="3"/>
      <c r="FC230" s="3"/>
      <c r="FD230" s="3"/>
      <c r="FE230" s="3"/>
      <c r="FF230" s="3"/>
      <c r="FG230" s="3"/>
      <c r="FH230" s="3"/>
      <c r="FI230" s="3"/>
      <c r="FJ230" s="3"/>
      <c r="FK230" s="3"/>
      <c r="FL230" s="3"/>
      <c r="FM230" s="3"/>
      <c r="FN230" s="3"/>
      <c r="FO230" s="3"/>
      <c r="FP230" s="3"/>
      <c r="FQ230" s="3"/>
      <c r="FR230" s="3"/>
      <c r="FS230" s="3"/>
      <c r="FT230" s="3"/>
      <c r="FU230" s="3"/>
      <c r="FV230" s="3"/>
      <c r="FW230" s="3"/>
      <c r="FX230" s="3"/>
      <c r="FY230" s="3"/>
      <c r="FZ230" s="3"/>
      <c r="GA230" s="3"/>
      <c r="GB230" s="3"/>
      <c r="GC230" s="3"/>
      <c r="GD230" s="3"/>
      <c r="GE230" s="3"/>
    </row>
    <row r="231" spans="1:187"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c r="EY231" s="3"/>
      <c r="EZ231" s="3"/>
      <c r="FA231" s="3"/>
      <c r="FB231" s="3"/>
      <c r="FC231" s="3"/>
      <c r="FD231" s="3"/>
      <c r="FE231" s="3"/>
      <c r="FF231" s="3"/>
      <c r="FG231" s="3"/>
      <c r="FH231" s="3"/>
      <c r="FI231" s="3"/>
      <c r="FJ231" s="3"/>
      <c r="FK231" s="3"/>
      <c r="FL231" s="3"/>
      <c r="FM231" s="3"/>
      <c r="FN231" s="3"/>
      <c r="FO231" s="3"/>
      <c r="FP231" s="3"/>
      <c r="FQ231" s="3"/>
      <c r="FR231" s="3"/>
      <c r="FS231" s="3"/>
      <c r="FT231" s="3"/>
      <c r="FU231" s="3"/>
      <c r="FV231" s="3"/>
      <c r="FW231" s="3"/>
      <c r="FX231" s="3"/>
      <c r="FY231" s="3"/>
      <c r="FZ231" s="3"/>
      <c r="GA231" s="3"/>
      <c r="GB231" s="3"/>
      <c r="GC231" s="3"/>
      <c r="GD231" s="3"/>
      <c r="GE231" s="3"/>
    </row>
    <row r="232" spans="1:187"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c r="EY232" s="3"/>
      <c r="EZ232" s="3"/>
      <c r="FA232" s="3"/>
      <c r="FB232" s="3"/>
      <c r="FC232" s="3"/>
      <c r="FD232" s="3"/>
      <c r="FE232" s="3"/>
      <c r="FF232" s="3"/>
      <c r="FG232" s="3"/>
      <c r="FH232" s="3"/>
      <c r="FI232" s="3"/>
      <c r="FJ232" s="3"/>
      <c r="FK232" s="3"/>
      <c r="FL232" s="3"/>
      <c r="FM232" s="3"/>
      <c r="FN232" s="3"/>
      <c r="FO232" s="3"/>
      <c r="FP232" s="3"/>
      <c r="FQ232" s="3"/>
      <c r="FR232" s="3"/>
      <c r="FS232" s="3"/>
      <c r="FT232" s="3"/>
      <c r="FU232" s="3"/>
      <c r="FV232" s="3"/>
      <c r="FW232" s="3"/>
      <c r="FX232" s="3"/>
      <c r="FY232" s="3"/>
      <c r="FZ232" s="3"/>
      <c r="GA232" s="3"/>
      <c r="GB232" s="3"/>
      <c r="GC232" s="3"/>
      <c r="GD232" s="3"/>
      <c r="GE232" s="3"/>
    </row>
    <row r="233" spans="1:187"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c r="EY233" s="3"/>
      <c r="EZ233" s="3"/>
      <c r="FA233" s="3"/>
      <c r="FB233" s="3"/>
      <c r="FC233" s="3"/>
      <c r="FD233" s="3"/>
      <c r="FE233" s="3"/>
      <c r="FF233" s="3"/>
      <c r="FG233" s="3"/>
      <c r="FH233" s="3"/>
      <c r="FI233" s="3"/>
      <c r="FJ233" s="3"/>
      <c r="FK233" s="3"/>
      <c r="FL233" s="3"/>
      <c r="FM233" s="3"/>
      <c r="FN233" s="3"/>
      <c r="FO233" s="3"/>
      <c r="FP233" s="3"/>
      <c r="FQ233" s="3"/>
      <c r="FR233" s="3"/>
      <c r="FS233" s="3"/>
      <c r="FT233" s="3"/>
      <c r="FU233" s="3"/>
      <c r="FV233" s="3"/>
      <c r="FW233" s="3"/>
      <c r="FX233" s="3"/>
      <c r="FY233" s="3"/>
      <c r="FZ233" s="3"/>
      <c r="GA233" s="3"/>
      <c r="GB233" s="3"/>
      <c r="GC233" s="3"/>
      <c r="GD233" s="3"/>
      <c r="GE233" s="3"/>
    </row>
    <row r="234" spans="1:187"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c r="EY234" s="3"/>
      <c r="EZ234" s="3"/>
      <c r="FA234" s="3"/>
      <c r="FB234" s="3"/>
      <c r="FC234" s="3"/>
      <c r="FD234" s="3"/>
      <c r="FE234" s="3"/>
      <c r="FF234" s="3"/>
      <c r="FG234" s="3"/>
      <c r="FH234" s="3"/>
      <c r="FI234" s="3"/>
      <c r="FJ234" s="3"/>
      <c r="FK234" s="3"/>
      <c r="FL234" s="3"/>
      <c r="FM234" s="3"/>
      <c r="FN234" s="3"/>
      <c r="FO234" s="3"/>
      <c r="FP234" s="3"/>
      <c r="FQ234" s="3"/>
      <c r="FR234" s="3"/>
      <c r="FS234" s="3"/>
      <c r="FT234" s="3"/>
      <c r="FU234" s="3"/>
      <c r="FV234" s="3"/>
      <c r="FW234" s="3"/>
      <c r="FX234" s="3"/>
      <c r="FY234" s="3"/>
      <c r="FZ234" s="3"/>
      <c r="GA234" s="3"/>
      <c r="GB234" s="3"/>
      <c r="GC234" s="3"/>
      <c r="GD234" s="3"/>
      <c r="GE234" s="3"/>
    </row>
    <row r="235" spans="1:187"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c r="EY235" s="3"/>
      <c r="EZ235" s="3"/>
      <c r="FA235" s="3"/>
      <c r="FB235" s="3"/>
      <c r="FC235" s="3"/>
      <c r="FD235" s="3"/>
      <c r="FE235" s="3"/>
      <c r="FF235" s="3"/>
      <c r="FG235" s="3"/>
      <c r="FH235" s="3"/>
      <c r="FI235" s="3"/>
      <c r="FJ235" s="3"/>
      <c r="FK235" s="3"/>
      <c r="FL235" s="3"/>
      <c r="FM235" s="3"/>
      <c r="FN235" s="3"/>
      <c r="FO235" s="3"/>
      <c r="FP235" s="3"/>
      <c r="FQ235" s="3"/>
      <c r="FR235" s="3"/>
      <c r="FS235" s="3"/>
      <c r="FT235" s="3"/>
      <c r="FU235" s="3"/>
      <c r="FV235" s="3"/>
      <c r="FW235" s="3"/>
      <c r="FX235" s="3"/>
      <c r="FY235" s="3"/>
      <c r="FZ235" s="3"/>
      <c r="GA235" s="3"/>
      <c r="GB235" s="3"/>
      <c r="GC235" s="3"/>
      <c r="GD235" s="3"/>
      <c r="GE235" s="3"/>
    </row>
    <row r="236" spans="1:187"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c r="EY236" s="3"/>
      <c r="EZ236" s="3"/>
      <c r="FA236" s="3"/>
      <c r="FB236" s="3"/>
      <c r="FC236" s="3"/>
      <c r="FD236" s="3"/>
      <c r="FE236" s="3"/>
      <c r="FF236" s="3"/>
      <c r="FG236" s="3"/>
      <c r="FH236" s="3"/>
      <c r="FI236" s="3"/>
      <c r="FJ236" s="3"/>
      <c r="FK236" s="3"/>
      <c r="FL236" s="3"/>
      <c r="FM236" s="3"/>
      <c r="FN236" s="3"/>
      <c r="FO236" s="3"/>
      <c r="FP236" s="3"/>
      <c r="FQ236" s="3"/>
      <c r="FR236" s="3"/>
      <c r="FS236" s="3"/>
      <c r="FT236" s="3"/>
      <c r="FU236" s="3"/>
      <c r="FV236" s="3"/>
      <c r="FW236" s="3"/>
      <c r="FX236" s="3"/>
      <c r="FY236" s="3"/>
      <c r="FZ236" s="3"/>
      <c r="GA236" s="3"/>
      <c r="GB236" s="3"/>
      <c r="GC236" s="3"/>
      <c r="GD236" s="3"/>
      <c r="GE236" s="3"/>
    </row>
    <row r="237" spans="1:187"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c r="EY237" s="3"/>
      <c r="EZ237" s="3"/>
      <c r="FA237" s="3"/>
      <c r="FB237" s="3"/>
      <c r="FC237" s="3"/>
      <c r="FD237" s="3"/>
      <c r="FE237" s="3"/>
      <c r="FF237" s="3"/>
      <c r="FG237" s="3"/>
      <c r="FH237" s="3"/>
      <c r="FI237" s="3"/>
      <c r="FJ237" s="3"/>
      <c r="FK237" s="3"/>
      <c r="FL237" s="3"/>
      <c r="FM237" s="3"/>
      <c r="FN237" s="3"/>
      <c r="FO237" s="3"/>
      <c r="FP237" s="3"/>
      <c r="FQ237" s="3"/>
      <c r="FR237" s="3"/>
      <c r="FS237" s="3"/>
      <c r="FT237" s="3"/>
      <c r="FU237" s="3"/>
      <c r="FV237" s="3"/>
      <c r="FW237" s="3"/>
      <c r="FX237" s="3"/>
      <c r="FY237" s="3"/>
      <c r="FZ237" s="3"/>
      <c r="GA237" s="3"/>
      <c r="GB237" s="3"/>
      <c r="GC237" s="3"/>
      <c r="GD237" s="3"/>
      <c r="GE237" s="3"/>
    </row>
    <row r="238" spans="1:187"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c r="EY238" s="3"/>
      <c r="EZ238" s="3"/>
      <c r="FA238" s="3"/>
      <c r="FB238" s="3"/>
      <c r="FC238" s="3"/>
      <c r="FD238" s="3"/>
      <c r="FE238" s="3"/>
      <c r="FF238" s="3"/>
      <c r="FG238" s="3"/>
      <c r="FH238" s="3"/>
      <c r="FI238" s="3"/>
      <c r="FJ238" s="3"/>
      <c r="FK238" s="3"/>
      <c r="FL238" s="3"/>
      <c r="FM238" s="3"/>
      <c r="FN238" s="3"/>
      <c r="FO238" s="3"/>
      <c r="FP238" s="3"/>
      <c r="FQ238" s="3"/>
      <c r="FR238" s="3"/>
      <c r="FS238" s="3"/>
      <c r="FT238" s="3"/>
      <c r="FU238" s="3"/>
      <c r="FV238" s="3"/>
      <c r="FW238" s="3"/>
      <c r="FX238" s="3"/>
      <c r="FY238" s="3"/>
      <c r="FZ238" s="3"/>
      <c r="GA238" s="3"/>
      <c r="GB238" s="3"/>
      <c r="GC238" s="3"/>
      <c r="GD238" s="3"/>
      <c r="GE238" s="3"/>
    </row>
    <row r="239" spans="1:187"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c r="EY239" s="3"/>
      <c r="EZ239" s="3"/>
      <c r="FA239" s="3"/>
      <c r="FB239" s="3"/>
      <c r="FC239" s="3"/>
      <c r="FD239" s="3"/>
      <c r="FE239" s="3"/>
      <c r="FF239" s="3"/>
      <c r="FG239" s="3"/>
      <c r="FH239" s="3"/>
      <c r="FI239" s="3"/>
      <c r="FJ239" s="3"/>
      <c r="FK239" s="3"/>
      <c r="FL239" s="3"/>
      <c r="FM239" s="3"/>
      <c r="FN239" s="3"/>
      <c r="FO239" s="3"/>
      <c r="FP239" s="3"/>
      <c r="FQ239" s="3"/>
      <c r="FR239" s="3"/>
      <c r="FS239" s="3"/>
      <c r="FT239" s="3"/>
      <c r="FU239" s="3"/>
      <c r="FV239" s="3"/>
      <c r="FW239" s="3"/>
      <c r="FX239" s="3"/>
      <c r="FY239" s="3"/>
      <c r="FZ239" s="3"/>
      <c r="GA239" s="3"/>
      <c r="GB239" s="3"/>
      <c r="GC239" s="3"/>
      <c r="GD239" s="3"/>
      <c r="GE239" s="3"/>
    </row>
    <row r="240" spans="1:187"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c r="EY240" s="3"/>
      <c r="EZ240" s="3"/>
      <c r="FA240" s="3"/>
      <c r="FB240" s="3"/>
      <c r="FC240" s="3"/>
      <c r="FD240" s="3"/>
      <c r="FE240" s="3"/>
      <c r="FF240" s="3"/>
      <c r="FG240" s="3"/>
      <c r="FH240" s="3"/>
      <c r="FI240" s="3"/>
      <c r="FJ240" s="3"/>
      <c r="FK240" s="3"/>
      <c r="FL240" s="3"/>
      <c r="FM240" s="3"/>
      <c r="FN240" s="3"/>
      <c r="FO240" s="3"/>
      <c r="FP240" s="3"/>
      <c r="FQ240" s="3"/>
      <c r="FR240" s="3"/>
      <c r="FS240" s="3"/>
      <c r="FT240" s="3"/>
      <c r="FU240" s="3"/>
      <c r="FV240" s="3"/>
      <c r="FW240" s="3"/>
      <c r="FX240" s="3"/>
      <c r="FY240" s="3"/>
      <c r="FZ240" s="3"/>
      <c r="GA240" s="3"/>
      <c r="GB240" s="3"/>
      <c r="GC240" s="3"/>
      <c r="GD240" s="3"/>
      <c r="GE240" s="3"/>
    </row>
    <row r="241" spans="1:187"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c r="EY241" s="3"/>
      <c r="EZ241" s="3"/>
      <c r="FA241" s="3"/>
      <c r="FB241" s="3"/>
      <c r="FC241" s="3"/>
      <c r="FD241" s="3"/>
      <c r="FE241" s="3"/>
      <c r="FF241" s="3"/>
      <c r="FG241" s="3"/>
      <c r="FH241" s="3"/>
      <c r="FI241" s="3"/>
      <c r="FJ241" s="3"/>
      <c r="FK241" s="3"/>
      <c r="FL241" s="3"/>
      <c r="FM241" s="3"/>
      <c r="FN241" s="3"/>
      <c r="FO241" s="3"/>
      <c r="FP241" s="3"/>
      <c r="FQ241" s="3"/>
      <c r="FR241" s="3"/>
      <c r="FS241" s="3"/>
      <c r="FT241" s="3"/>
      <c r="FU241" s="3"/>
      <c r="FV241" s="3"/>
      <c r="FW241" s="3"/>
      <c r="FX241" s="3"/>
      <c r="FY241" s="3"/>
      <c r="FZ241" s="3"/>
      <c r="GA241" s="3"/>
      <c r="GB241" s="3"/>
      <c r="GC241" s="3"/>
      <c r="GD241" s="3"/>
      <c r="GE241" s="3"/>
    </row>
    <row r="242" spans="1:187"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c r="EY242" s="3"/>
      <c r="EZ242" s="3"/>
      <c r="FA242" s="3"/>
      <c r="FB242" s="3"/>
      <c r="FC242" s="3"/>
      <c r="FD242" s="3"/>
      <c r="FE242" s="3"/>
      <c r="FF242" s="3"/>
      <c r="FG242" s="3"/>
      <c r="FH242" s="3"/>
      <c r="FI242" s="3"/>
      <c r="FJ242" s="3"/>
      <c r="FK242" s="3"/>
      <c r="FL242" s="3"/>
      <c r="FM242" s="3"/>
      <c r="FN242" s="3"/>
      <c r="FO242" s="3"/>
      <c r="FP242" s="3"/>
      <c r="FQ242" s="3"/>
      <c r="FR242" s="3"/>
      <c r="FS242" s="3"/>
      <c r="FT242" s="3"/>
      <c r="FU242" s="3"/>
      <c r="FV242" s="3"/>
      <c r="FW242" s="3"/>
      <c r="FX242" s="3"/>
      <c r="FY242" s="3"/>
      <c r="FZ242" s="3"/>
      <c r="GA242" s="3"/>
      <c r="GB242" s="3"/>
      <c r="GC242" s="3"/>
      <c r="GD242" s="3"/>
      <c r="GE242" s="3"/>
    </row>
    <row r="243" spans="1:187"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c r="EY243" s="3"/>
      <c r="EZ243" s="3"/>
      <c r="FA243" s="3"/>
      <c r="FB243" s="3"/>
      <c r="FC243" s="3"/>
      <c r="FD243" s="3"/>
      <c r="FE243" s="3"/>
      <c r="FF243" s="3"/>
      <c r="FG243" s="3"/>
      <c r="FH243" s="3"/>
      <c r="FI243" s="3"/>
      <c r="FJ243" s="3"/>
      <c r="FK243" s="3"/>
      <c r="FL243" s="3"/>
      <c r="FM243" s="3"/>
      <c r="FN243" s="3"/>
      <c r="FO243" s="3"/>
      <c r="FP243" s="3"/>
      <c r="FQ243" s="3"/>
      <c r="FR243" s="3"/>
      <c r="FS243" s="3"/>
      <c r="FT243" s="3"/>
      <c r="FU243" s="3"/>
      <c r="FV243" s="3"/>
      <c r="FW243" s="3"/>
      <c r="FX243" s="3"/>
      <c r="FY243" s="3"/>
      <c r="FZ243" s="3"/>
      <c r="GA243" s="3"/>
      <c r="GB243" s="3"/>
      <c r="GC243" s="3"/>
      <c r="GD243" s="3"/>
      <c r="GE243" s="3"/>
    </row>
    <row r="244" spans="1:187"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c r="EY244" s="3"/>
      <c r="EZ244" s="3"/>
      <c r="FA244" s="3"/>
      <c r="FB244" s="3"/>
      <c r="FC244" s="3"/>
      <c r="FD244" s="3"/>
      <c r="FE244" s="3"/>
      <c r="FF244" s="3"/>
      <c r="FG244" s="3"/>
      <c r="FH244" s="3"/>
      <c r="FI244" s="3"/>
      <c r="FJ244" s="3"/>
      <c r="FK244" s="3"/>
      <c r="FL244" s="3"/>
      <c r="FM244" s="3"/>
      <c r="FN244" s="3"/>
      <c r="FO244" s="3"/>
      <c r="FP244" s="3"/>
      <c r="FQ244" s="3"/>
      <c r="FR244" s="3"/>
      <c r="FS244" s="3"/>
      <c r="FT244" s="3"/>
      <c r="FU244" s="3"/>
      <c r="FV244" s="3"/>
      <c r="FW244" s="3"/>
      <c r="FX244" s="3"/>
      <c r="FY244" s="3"/>
      <c r="FZ244" s="3"/>
      <c r="GA244" s="3"/>
      <c r="GB244" s="3"/>
      <c r="GC244" s="3"/>
      <c r="GD244" s="3"/>
      <c r="GE244" s="3"/>
    </row>
    <row r="245" spans="1:187"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c r="EY245" s="3"/>
      <c r="EZ245" s="3"/>
      <c r="FA245" s="3"/>
      <c r="FB245" s="3"/>
      <c r="FC245" s="3"/>
      <c r="FD245" s="3"/>
      <c r="FE245" s="3"/>
      <c r="FF245" s="3"/>
      <c r="FG245" s="3"/>
      <c r="FH245" s="3"/>
      <c r="FI245" s="3"/>
      <c r="FJ245" s="3"/>
      <c r="FK245" s="3"/>
      <c r="FL245" s="3"/>
      <c r="FM245" s="3"/>
      <c r="FN245" s="3"/>
      <c r="FO245" s="3"/>
      <c r="FP245" s="3"/>
      <c r="FQ245" s="3"/>
      <c r="FR245" s="3"/>
      <c r="FS245" s="3"/>
      <c r="FT245" s="3"/>
      <c r="FU245" s="3"/>
      <c r="FV245" s="3"/>
      <c r="FW245" s="3"/>
      <c r="FX245" s="3"/>
      <c r="FY245" s="3"/>
      <c r="FZ245" s="3"/>
      <c r="GA245" s="3"/>
      <c r="GB245" s="3"/>
      <c r="GC245" s="3"/>
      <c r="GD245" s="3"/>
      <c r="GE245" s="3"/>
    </row>
    <row r="246" spans="1:187"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c r="EY246" s="3"/>
      <c r="EZ246" s="3"/>
      <c r="FA246" s="3"/>
      <c r="FB246" s="3"/>
      <c r="FC246" s="3"/>
      <c r="FD246" s="3"/>
      <c r="FE246" s="3"/>
      <c r="FF246" s="3"/>
      <c r="FG246" s="3"/>
      <c r="FH246" s="3"/>
      <c r="FI246" s="3"/>
      <c r="FJ246" s="3"/>
      <c r="FK246" s="3"/>
      <c r="FL246" s="3"/>
      <c r="FM246" s="3"/>
      <c r="FN246" s="3"/>
      <c r="FO246" s="3"/>
      <c r="FP246" s="3"/>
      <c r="FQ246" s="3"/>
      <c r="FR246" s="3"/>
      <c r="FS246" s="3"/>
      <c r="FT246" s="3"/>
      <c r="FU246" s="3"/>
      <c r="FV246" s="3"/>
      <c r="FW246" s="3"/>
      <c r="FX246" s="3"/>
      <c r="FY246" s="3"/>
      <c r="FZ246" s="3"/>
      <c r="GA246" s="3"/>
      <c r="GB246" s="3"/>
      <c r="GC246" s="3"/>
      <c r="GD246" s="3"/>
      <c r="GE246" s="3"/>
    </row>
    <row r="247" spans="1:187"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c r="EY247" s="3"/>
      <c r="EZ247" s="3"/>
      <c r="FA247" s="3"/>
      <c r="FB247" s="3"/>
      <c r="FC247" s="3"/>
      <c r="FD247" s="3"/>
      <c r="FE247" s="3"/>
      <c r="FF247" s="3"/>
      <c r="FG247" s="3"/>
      <c r="FH247" s="3"/>
      <c r="FI247" s="3"/>
      <c r="FJ247" s="3"/>
      <c r="FK247" s="3"/>
      <c r="FL247" s="3"/>
      <c r="FM247" s="3"/>
      <c r="FN247" s="3"/>
      <c r="FO247" s="3"/>
      <c r="FP247" s="3"/>
      <c r="FQ247" s="3"/>
      <c r="FR247" s="3"/>
      <c r="FS247" s="3"/>
      <c r="FT247" s="3"/>
      <c r="FU247" s="3"/>
      <c r="FV247" s="3"/>
      <c r="FW247" s="3"/>
      <c r="FX247" s="3"/>
      <c r="FY247" s="3"/>
      <c r="FZ247" s="3"/>
      <c r="GA247" s="3"/>
      <c r="GB247" s="3"/>
      <c r="GC247" s="3"/>
      <c r="GD247" s="3"/>
      <c r="GE247" s="3"/>
    </row>
    <row r="248" spans="1:187"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c r="EY248" s="3"/>
      <c r="EZ248" s="3"/>
      <c r="FA248" s="3"/>
      <c r="FB248" s="3"/>
      <c r="FC248" s="3"/>
      <c r="FD248" s="3"/>
      <c r="FE248" s="3"/>
      <c r="FF248" s="3"/>
      <c r="FG248" s="3"/>
      <c r="FH248" s="3"/>
      <c r="FI248" s="3"/>
      <c r="FJ248" s="3"/>
      <c r="FK248" s="3"/>
      <c r="FL248" s="3"/>
      <c r="FM248" s="3"/>
      <c r="FN248" s="3"/>
      <c r="FO248" s="3"/>
      <c r="FP248" s="3"/>
      <c r="FQ248" s="3"/>
      <c r="FR248" s="3"/>
      <c r="FS248" s="3"/>
      <c r="FT248" s="3"/>
      <c r="FU248" s="3"/>
      <c r="FV248" s="3"/>
      <c r="FW248" s="3"/>
      <c r="FX248" s="3"/>
      <c r="FY248" s="3"/>
      <c r="FZ248" s="3"/>
      <c r="GA248" s="3"/>
      <c r="GB248" s="3"/>
      <c r="GC248" s="3"/>
      <c r="GD248" s="3"/>
      <c r="GE248" s="3"/>
    </row>
    <row r="249" spans="1:187"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c r="EY249" s="3"/>
      <c r="EZ249" s="3"/>
      <c r="FA249" s="3"/>
      <c r="FB249" s="3"/>
      <c r="FC249" s="3"/>
      <c r="FD249" s="3"/>
      <c r="FE249" s="3"/>
      <c r="FF249" s="3"/>
      <c r="FG249" s="3"/>
      <c r="FH249" s="3"/>
      <c r="FI249" s="3"/>
      <c r="FJ249" s="3"/>
      <c r="FK249" s="3"/>
      <c r="FL249" s="3"/>
      <c r="FM249" s="3"/>
      <c r="FN249" s="3"/>
      <c r="FO249" s="3"/>
      <c r="FP249" s="3"/>
      <c r="FQ249" s="3"/>
      <c r="FR249" s="3"/>
      <c r="FS249" s="3"/>
      <c r="FT249" s="3"/>
      <c r="FU249" s="3"/>
      <c r="FV249" s="3"/>
      <c r="FW249" s="3"/>
      <c r="FX249" s="3"/>
      <c r="FY249" s="3"/>
      <c r="FZ249" s="3"/>
      <c r="GA249" s="3"/>
      <c r="GB249" s="3"/>
      <c r="GC249" s="3"/>
      <c r="GD249" s="3"/>
      <c r="GE249" s="3"/>
    </row>
    <row r="250" spans="1:187"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c r="EY250" s="3"/>
      <c r="EZ250" s="3"/>
      <c r="FA250" s="3"/>
      <c r="FB250" s="3"/>
      <c r="FC250" s="3"/>
      <c r="FD250" s="3"/>
      <c r="FE250" s="3"/>
      <c r="FF250" s="3"/>
      <c r="FG250" s="3"/>
      <c r="FH250" s="3"/>
      <c r="FI250" s="3"/>
      <c r="FJ250" s="3"/>
      <c r="FK250" s="3"/>
      <c r="FL250" s="3"/>
      <c r="FM250" s="3"/>
      <c r="FN250" s="3"/>
      <c r="FO250" s="3"/>
      <c r="FP250" s="3"/>
      <c r="FQ250" s="3"/>
      <c r="FR250" s="3"/>
      <c r="FS250" s="3"/>
      <c r="FT250" s="3"/>
      <c r="FU250" s="3"/>
      <c r="FV250" s="3"/>
      <c r="FW250" s="3"/>
      <c r="FX250" s="3"/>
      <c r="FY250" s="3"/>
      <c r="FZ250" s="3"/>
      <c r="GA250" s="3"/>
      <c r="GB250" s="3"/>
      <c r="GC250" s="3"/>
      <c r="GD250" s="3"/>
      <c r="GE250" s="3"/>
    </row>
    <row r="251" spans="1:187"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c r="EY251" s="3"/>
      <c r="EZ251" s="3"/>
      <c r="FA251" s="3"/>
      <c r="FB251" s="3"/>
      <c r="FC251" s="3"/>
      <c r="FD251" s="3"/>
      <c r="FE251" s="3"/>
      <c r="FF251" s="3"/>
      <c r="FG251" s="3"/>
      <c r="FH251" s="3"/>
      <c r="FI251" s="3"/>
      <c r="FJ251" s="3"/>
      <c r="FK251" s="3"/>
      <c r="FL251" s="3"/>
      <c r="FM251" s="3"/>
      <c r="FN251" s="3"/>
      <c r="FO251" s="3"/>
      <c r="FP251" s="3"/>
      <c r="FQ251" s="3"/>
      <c r="FR251" s="3"/>
      <c r="FS251" s="3"/>
      <c r="FT251" s="3"/>
      <c r="FU251" s="3"/>
      <c r="FV251" s="3"/>
      <c r="FW251" s="3"/>
      <c r="FX251" s="3"/>
      <c r="FY251" s="3"/>
      <c r="FZ251" s="3"/>
      <c r="GA251" s="3"/>
      <c r="GB251" s="3"/>
      <c r="GC251" s="3"/>
      <c r="GD251" s="3"/>
      <c r="GE251" s="3"/>
    </row>
    <row r="252" spans="1:187"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c r="EY252" s="3"/>
      <c r="EZ252" s="3"/>
      <c r="FA252" s="3"/>
      <c r="FB252" s="3"/>
      <c r="FC252" s="3"/>
      <c r="FD252" s="3"/>
      <c r="FE252" s="3"/>
      <c r="FF252" s="3"/>
      <c r="FG252" s="3"/>
      <c r="FH252" s="3"/>
      <c r="FI252" s="3"/>
      <c r="FJ252" s="3"/>
      <c r="FK252" s="3"/>
      <c r="FL252" s="3"/>
      <c r="FM252" s="3"/>
      <c r="FN252" s="3"/>
      <c r="FO252" s="3"/>
      <c r="FP252" s="3"/>
      <c r="FQ252" s="3"/>
      <c r="FR252" s="3"/>
      <c r="FS252" s="3"/>
      <c r="FT252" s="3"/>
      <c r="FU252" s="3"/>
      <c r="FV252" s="3"/>
      <c r="FW252" s="3"/>
      <c r="FX252" s="3"/>
      <c r="FY252" s="3"/>
      <c r="FZ252" s="3"/>
      <c r="GA252" s="3"/>
      <c r="GB252" s="3"/>
      <c r="GC252" s="3"/>
      <c r="GD252" s="3"/>
      <c r="GE252" s="3"/>
    </row>
    <row r="253" spans="1:187" ht="15.75" customHeight="1" x14ac:dyDescent="0.2"/>
    <row r="254" spans="1:187" ht="15.75" customHeight="1" x14ac:dyDescent="0.2"/>
    <row r="255" spans="1:187" ht="15.75" customHeight="1" x14ac:dyDescent="0.2"/>
    <row r="256" spans="1:187"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row r="1018" ht="15.75" customHeight="1" x14ac:dyDescent="0.2"/>
  </sheetData>
  <mergeCells count="4">
    <mergeCell ref="C22:T22"/>
    <mergeCell ref="C52:BF52"/>
    <mergeCell ref="C55:BF55"/>
    <mergeCell ref="C58:BF58"/>
  </mergeCells>
  <phoneticPr fontId="31" type="noConversion"/>
  <conditionalFormatting sqref="A24:XFD24">
    <cfRule type="containsText" dxfId="11" priority="1" operator="containsText" text="TRUE">
      <formula>NOT(ISERROR(SEARCH("TRUE",A24)))</formula>
    </cfRule>
    <cfRule type="containsText" dxfId="10" priority="2" operator="containsText" text="FALSE">
      <formula>NOT(ISERROR(SEARCH("FALSE",A24)))</formula>
    </cfRule>
  </conditionalFormatting>
  <pageMargins left="0.7" right="0.7" top="0.75" bottom="0.75" header="0" footer="0"/>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sheetPr>
  <dimension ref="A1:AL1005"/>
  <sheetViews>
    <sheetView showGridLines="0" zoomScale="120" zoomScaleNormal="120" workbookViewId="0">
      <selection activeCell="C6" sqref="C6:J13"/>
    </sheetView>
  </sheetViews>
  <sheetFormatPr baseColWidth="10" defaultColWidth="14.5" defaultRowHeight="15" customHeight="1" x14ac:dyDescent="0.2"/>
  <cols>
    <col min="1" max="1" width="51.6640625" customWidth="1"/>
    <col min="2" max="2" width="1.33203125" customWidth="1"/>
    <col min="3" max="27" width="9.1640625" customWidth="1"/>
    <col min="28" max="34" width="9.33203125" customWidth="1"/>
    <col min="35" max="35" width="10.6640625" bestFit="1" customWidth="1"/>
    <col min="36" max="36" width="11" bestFit="1" customWidth="1"/>
    <col min="37" max="37" width="10.6640625" bestFit="1" customWidth="1"/>
    <col min="38" max="38" width="11" bestFit="1" customWidth="1"/>
  </cols>
  <sheetData>
    <row r="1" spans="1:38" ht="31.5" customHeight="1" x14ac:dyDescent="0.2">
      <c r="A1" s="10" t="s">
        <v>222</v>
      </c>
      <c r="B1" s="10"/>
      <c r="C1" s="11" t="s">
        <v>223</v>
      </c>
      <c r="D1" s="10"/>
      <c r="E1" s="10"/>
      <c r="F1" s="10"/>
      <c r="G1" s="10"/>
      <c r="H1" s="10"/>
      <c r="I1" s="10"/>
      <c r="J1" s="10"/>
      <c r="K1" s="10"/>
      <c r="L1" s="10"/>
      <c r="M1" s="10"/>
      <c r="N1" s="10"/>
      <c r="O1" s="10"/>
      <c r="P1" s="10"/>
      <c r="Q1" s="10"/>
      <c r="R1" s="10"/>
      <c r="S1" s="10"/>
      <c r="T1" s="10"/>
      <c r="U1" s="3"/>
      <c r="V1" s="3"/>
      <c r="W1" s="3"/>
      <c r="X1" s="3"/>
      <c r="Y1" s="3"/>
      <c r="Z1" s="3"/>
      <c r="AA1" s="3"/>
      <c r="AB1" s="3"/>
      <c r="AC1" s="3"/>
      <c r="AD1" s="3"/>
      <c r="AE1" s="3"/>
      <c r="AF1" s="3"/>
      <c r="AG1" s="3"/>
      <c r="AH1" s="3"/>
      <c r="AI1" s="3"/>
      <c r="AJ1" s="3"/>
      <c r="AK1" s="3"/>
      <c r="AL1" s="3"/>
    </row>
    <row r="2" spans="1:38" ht="31.5" customHeight="1" x14ac:dyDescent="0.25">
      <c r="A2" s="12"/>
      <c r="B2" s="3"/>
      <c r="C2" s="13"/>
      <c r="D2" s="14"/>
      <c r="E2" s="14"/>
      <c r="F2" s="14"/>
      <c r="G2" s="14"/>
      <c r="H2" s="14"/>
      <c r="I2" s="14"/>
      <c r="J2" s="14"/>
      <c r="K2" s="14"/>
      <c r="L2" s="14"/>
      <c r="M2" s="14"/>
      <c r="N2" s="14"/>
      <c r="O2" s="3"/>
      <c r="P2" s="3"/>
      <c r="Q2" s="3"/>
      <c r="R2" s="3"/>
      <c r="S2" s="3"/>
      <c r="T2" s="3"/>
      <c r="U2" s="3"/>
      <c r="V2" s="3"/>
      <c r="W2" s="3"/>
      <c r="X2" s="3"/>
      <c r="Y2" s="3"/>
      <c r="Z2" s="3"/>
      <c r="AA2" s="3"/>
      <c r="AB2" s="3"/>
      <c r="AC2" s="3"/>
      <c r="AD2" s="3"/>
      <c r="AE2" s="3"/>
      <c r="AF2" s="3"/>
      <c r="AG2" s="3"/>
      <c r="AH2" s="3"/>
      <c r="AI2" s="3"/>
      <c r="AJ2" s="3"/>
      <c r="AK2" s="3"/>
      <c r="AL2" s="3"/>
    </row>
    <row r="3" spans="1:38" ht="19" x14ac:dyDescent="0.25">
      <c r="A3" s="15" t="s">
        <v>61</v>
      </c>
      <c r="B3" s="3"/>
      <c r="C3" s="13"/>
      <c r="D3" s="14"/>
      <c r="E3" s="14"/>
      <c r="F3" s="14"/>
      <c r="G3" s="14"/>
      <c r="H3" s="14"/>
      <c r="I3" s="14"/>
      <c r="J3" s="14"/>
      <c r="K3" s="14"/>
      <c r="L3" s="14"/>
      <c r="M3" s="14"/>
      <c r="N3" s="14"/>
      <c r="O3" s="3"/>
      <c r="P3" s="3"/>
      <c r="Q3" s="3"/>
      <c r="R3" s="3"/>
      <c r="S3" s="3"/>
      <c r="T3" s="3"/>
      <c r="U3" s="3"/>
      <c r="V3" s="3"/>
      <c r="W3" s="3"/>
      <c r="X3" s="3"/>
      <c r="Y3" s="3"/>
      <c r="Z3" s="3"/>
      <c r="AA3" s="3"/>
      <c r="AB3" s="3"/>
      <c r="AC3" s="3"/>
      <c r="AD3" s="3"/>
      <c r="AE3" s="3"/>
      <c r="AF3" s="3"/>
      <c r="AG3" s="3"/>
      <c r="AH3" s="3"/>
      <c r="AI3" s="3"/>
      <c r="AJ3" s="3"/>
      <c r="AK3" s="3"/>
      <c r="AL3" s="3"/>
    </row>
    <row r="4" spans="1:38" ht="16" x14ac:dyDescent="0.2">
      <c r="A4" s="16" t="str">
        <f>A1</f>
        <v>Indicator 14</v>
      </c>
      <c r="B4" s="3"/>
      <c r="C4" s="17" t="s">
        <v>62</v>
      </c>
      <c r="D4" s="17" t="s">
        <v>63</v>
      </c>
      <c r="E4" s="17" t="s">
        <v>64</v>
      </c>
      <c r="F4" s="17" t="s">
        <v>65</v>
      </c>
      <c r="G4" s="17" t="s">
        <v>62</v>
      </c>
      <c r="H4" s="17" t="s">
        <v>63</v>
      </c>
      <c r="I4" s="17" t="s">
        <v>64</v>
      </c>
      <c r="J4" s="17" t="s">
        <v>65</v>
      </c>
      <c r="K4" s="17" t="s">
        <v>62</v>
      </c>
      <c r="L4" s="17" t="s">
        <v>63</v>
      </c>
      <c r="M4" s="17" t="s">
        <v>64</v>
      </c>
      <c r="N4" s="17" t="s">
        <v>65</v>
      </c>
      <c r="O4" s="17" t="s">
        <v>62</v>
      </c>
      <c r="P4" s="17" t="s">
        <v>63</v>
      </c>
      <c r="Q4" s="17" t="s">
        <v>64</v>
      </c>
      <c r="R4" s="17" t="s">
        <v>65</v>
      </c>
      <c r="S4" s="17" t="s">
        <v>62</v>
      </c>
      <c r="T4" s="17" t="s">
        <v>63</v>
      </c>
      <c r="U4" s="17" t="s">
        <v>64</v>
      </c>
      <c r="V4" s="17" t="s">
        <v>65</v>
      </c>
      <c r="W4" s="17" t="s">
        <v>62</v>
      </c>
      <c r="X4" s="17" t="s">
        <v>63</v>
      </c>
      <c r="Y4" s="17" t="s">
        <v>64</v>
      </c>
      <c r="Z4" s="17" t="s">
        <v>65</v>
      </c>
      <c r="AA4" s="17" t="s">
        <v>62</v>
      </c>
      <c r="AB4" s="58" t="s">
        <v>63</v>
      </c>
      <c r="AC4" s="58" t="s">
        <v>64</v>
      </c>
      <c r="AD4" s="58" t="s">
        <v>65</v>
      </c>
      <c r="AE4" s="58" t="s">
        <v>62</v>
      </c>
      <c r="AF4" s="58" t="s">
        <v>63</v>
      </c>
      <c r="AG4" s="58" t="s">
        <v>64</v>
      </c>
      <c r="AH4" s="58" t="s">
        <v>65</v>
      </c>
      <c r="AI4" s="58" t="s">
        <v>62</v>
      </c>
      <c r="AJ4" s="58" t="s">
        <v>63</v>
      </c>
      <c r="AK4" s="58" t="s">
        <v>64</v>
      </c>
      <c r="AL4" s="58" t="s">
        <v>65</v>
      </c>
    </row>
    <row r="5" spans="1:38" ht="26" x14ac:dyDescent="0.2">
      <c r="A5" s="16"/>
      <c r="B5" s="3"/>
      <c r="C5" s="17" t="s">
        <v>385</v>
      </c>
      <c r="D5" s="17" t="s">
        <v>386</v>
      </c>
      <c r="E5" s="17" t="s">
        <v>387</v>
      </c>
      <c r="F5" s="17" t="s">
        <v>388</v>
      </c>
      <c r="G5" s="17" t="s">
        <v>66</v>
      </c>
      <c r="H5" s="17" t="s">
        <v>67</v>
      </c>
      <c r="I5" s="17" t="s">
        <v>68</v>
      </c>
      <c r="J5" s="17" t="s">
        <v>69</v>
      </c>
      <c r="K5" s="17" t="s">
        <v>70</v>
      </c>
      <c r="L5" s="17" t="s">
        <v>71</v>
      </c>
      <c r="M5" s="17" t="s">
        <v>72</v>
      </c>
      <c r="N5" s="17" t="s">
        <v>73</v>
      </c>
      <c r="O5" s="17" t="s">
        <v>74</v>
      </c>
      <c r="P5" s="17" t="s">
        <v>75</v>
      </c>
      <c r="Q5" s="17" t="s">
        <v>76</v>
      </c>
      <c r="R5" s="17" t="s">
        <v>77</v>
      </c>
      <c r="S5" s="58" t="s">
        <v>321</v>
      </c>
      <c r="T5" s="17" t="s">
        <v>322</v>
      </c>
      <c r="U5" s="17" t="s">
        <v>323</v>
      </c>
      <c r="V5" s="17" t="s">
        <v>324</v>
      </c>
      <c r="W5" s="58" t="s">
        <v>325</v>
      </c>
      <c r="X5" s="17" t="s">
        <v>326</v>
      </c>
      <c r="Y5" s="17" t="s">
        <v>327</v>
      </c>
      <c r="Z5" s="17" t="s">
        <v>328</v>
      </c>
      <c r="AA5" s="17" t="s">
        <v>329</v>
      </c>
      <c r="AB5" s="17" t="s">
        <v>330</v>
      </c>
      <c r="AC5" s="17" t="s">
        <v>331</v>
      </c>
      <c r="AD5" s="17" t="s">
        <v>332</v>
      </c>
      <c r="AE5" s="17" t="s">
        <v>333</v>
      </c>
      <c r="AF5" s="17" t="s">
        <v>334</v>
      </c>
      <c r="AG5" s="17" t="s">
        <v>335</v>
      </c>
      <c r="AH5" s="17" t="s">
        <v>336</v>
      </c>
      <c r="AI5" s="17" t="s">
        <v>337</v>
      </c>
      <c r="AJ5" s="17" t="s">
        <v>338</v>
      </c>
      <c r="AK5" s="17" t="s">
        <v>339</v>
      </c>
      <c r="AL5" s="17" t="s">
        <v>340</v>
      </c>
    </row>
    <row r="6" spans="1:38" ht="15.75" customHeight="1" x14ac:dyDescent="0.2">
      <c r="A6" s="18" t="s">
        <v>224</v>
      </c>
      <c r="B6" s="3"/>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row>
    <row r="7" spans="1:38" ht="15.75" customHeight="1" x14ac:dyDescent="0.2">
      <c r="A7" s="18" t="s">
        <v>225</v>
      </c>
      <c r="B7" s="3"/>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row>
    <row r="8" spans="1:38" ht="15.75" customHeight="1" x14ac:dyDescent="0.2">
      <c r="A8" s="18" t="s">
        <v>226</v>
      </c>
      <c r="B8" s="3"/>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row>
    <row r="9" spans="1:38" ht="15.75" customHeight="1" x14ac:dyDescent="0.2">
      <c r="A9" s="18" t="s">
        <v>227</v>
      </c>
      <c r="B9" s="3"/>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row>
    <row r="10" spans="1:38" ht="15.75" customHeight="1" x14ac:dyDescent="0.2">
      <c r="A10" s="18" t="s">
        <v>228</v>
      </c>
      <c r="B10" s="3"/>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row>
    <row r="11" spans="1:38" ht="15.75" customHeight="1" x14ac:dyDescent="0.2">
      <c r="A11" s="18" t="s">
        <v>229</v>
      </c>
      <c r="B11" s="3"/>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row>
    <row r="12" spans="1:38" ht="15.75" customHeight="1" x14ac:dyDescent="0.2">
      <c r="A12" s="61" t="s">
        <v>433</v>
      </c>
      <c r="B12" s="3"/>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row>
    <row r="13" spans="1:38" ht="15.75" customHeight="1" x14ac:dyDescent="0.2">
      <c r="A13" s="18" t="s">
        <v>219</v>
      </c>
      <c r="B13" s="3"/>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row>
    <row r="14" spans="1:38" ht="15.75" customHeight="1" thickBot="1" x14ac:dyDescent="0.25">
      <c r="A14" s="22" t="s">
        <v>111</v>
      </c>
      <c r="B14" s="3"/>
      <c r="C14" s="43">
        <f t="shared" ref="C14:R14" si="0">SUM(C6:C13)</f>
        <v>0</v>
      </c>
      <c r="D14" s="43">
        <f t="shared" si="0"/>
        <v>0</v>
      </c>
      <c r="E14" s="43">
        <f t="shared" si="0"/>
        <v>0</v>
      </c>
      <c r="F14" s="43">
        <f t="shared" si="0"/>
        <v>0</v>
      </c>
      <c r="G14" s="43">
        <f t="shared" si="0"/>
        <v>0</v>
      </c>
      <c r="H14" s="43">
        <f t="shared" si="0"/>
        <v>0</v>
      </c>
      <c r="I14" s="43">
        <f t="shared" si="0"/>
        <v>0</v>
      </c>
      <c r="J14" s="43">
        <f t="shared" si="0"/>
        <v>0</v>
      </c>
      <c r="K14" s="43">
        <f t="shared" si="0"/>
        <v>0</v>
      </c>
      <c r="L14" s="43">
        <f t="shared" si="0"/>
        <v>0</v>
      </c>
      <c r="M14" s="43">
        <f t="shared" si="0"/>
        <v>0</v>
      </c>
      <c r="N14" s="43">
        <f t="shared" si="0"/>
        <v>0</v>
      </c>
      <c r="O14" s="43">
        <f t="shared" si="0"/>
        <v>0</v>
      </c>
      <c r="P14" s="43">
        <f t="shared" si="0"/>
        <v>0</v>
      </c>
      <c r="Q14" s="43">
        <f t="shared" si="0"/>
        <v>0</v>
      </c>
      <c r="R14" s="43">
        <f t="shared" si="0"/>
        <v>0</v>
      </c>
      <c r="S14" s="43">
        <f t="shared" ref="S14:AH14" si="1">SUM(S6:S13)</f>
        <v>0</v>
      </c>
      <c r="T14" s="43">
        <f t="shared" si="1"/>
        <v>0</v>
      </c>
      <c r="U14" s="43">
        <f t="shared" si="1"/>
        <v>0</v>
      </c>
      <c r="V14" s="43">
        <f t="shared" si="1"/>
        <v>0</v>
      </c>
      <c r="W14" s="43">
        <f t="shared" si="1"/>
        <v>0</v>
      </c>
      <c r="X14" s="43">
        <f t="shared" si="1"/>
        <v>0</v>
      </c>
      <c r="Y14" s="43">
        <f t="shared" si="1"/>
        <v>0</v>
      </c>
      <c r="Z14" s="43">
        <f t="shared" si="1"/>
        <v>0</v>
      </c>
      <c r="AA14" s="43">
        <f t="shared" si="1"/>
        <v>0</v>
      </c>
      <c r="AB14" s="43">
        <f t="shared" si="1"/>
        <v>0</v>
      </c>
      <c r="AC14" s="43">
        <f t="shared" si="1"/>
        <v>0</v>
      </c>
      <c r="AD14" s="43">
        <f t="shared" si="1"/>
        <v>0</v>
      </c>
      <c r="AE14" s="43">
        <f t="shared" si="1"/>
        <v>0</v>
      </c>
      <c r="AF14" s="43">
        <f t="shared" si="1"/>
        <v>0</v>
      </c>
      <c r="AG14" s="43">
        <f t="shared" si="1"/>
        <v>0</v>
      </c>
      <c r="AH14" s="43">
        <f t="shared" si="1"/>
        <v>0</v>
      </c>
      <c r="AI14" s="43">
        <f t="shared" ref="AI14:AL14" si="2">SUM(AI6:AI13)</f>
        <v>0</v>
      </c>
      <c r="AJ14" s="43">
        <f t="shared" si="2"/>
        <v>0</v>
      </c>
      <c r="AK14" s="43">
        <f t="shared" si="2"/>
        <v>0</v>
      </c>
      <c r="AL14" s="43">
        <f t="shared" si="2"/>
        <v>0</v>
      </c>
    </row>
    <row r="15" spans="1:38" ht="15.75" customHeight="1" thickTop="1" x14ac:dyDescent="0.2">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42"/>
      <c r="AC15" s="42"/>
      <c r="AD15" s="42"/>
      <c r="AE15" s="42"/>
      <c r="AF15" s="42"/>
      <c r="AG15" s="42"/>
      <c r="AH15" s="42"/>
      <c r="AI15" s="42"/>
      <c r="AJ15" s="42"/>
      <c r="AK15" s="42"/>
      <c r="AL15" s="42"/>
    </row>
    <row r="16" spans="1:38" ht="15.75" customHeight="1" x14ac:dyDescent="0.2">
      <c r="A16" s="15" t="s">
        <v>115</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row>
    <row r="17" spans="1:38" ht="111.75" customHeight="1" x14ac:dyDescent="0.2">
      <c r="A17" s="4" t="s">
        <v>116</v>
      </c>
      <c r="B17" s="3"/>
      <c r="C17" s="28"/>
      <c r="D17" s="56"/>
      <c r="E17" s="56"/>
      <c r="F17" s="56"/>
      <c r="G17" s="56"/>
      <c r="H17" s="56"/>
      <c r="I17" s="56"/>
      <c r="J17" s="56"/>
      <c r="K17" s="56"/>
      <c r="L17" s="56"/>
      <c r="M17" s="56"/>
      <c r="N17" s="56"/>
      <c r="O17" s="56"/>
      <c r="P17" s="56"/>
      <c r="Q17" s="56"/>
      <c r="R17" s="56"/>
      <c r="S17" s="56"/>
      <c r="T17" s="57"/>
      <c r="U17" s="3"/>
      <c r="V17" s="3"/>
      <c r="W17" s="3"/>
      <c r="X17" s="3"/>
      <c r="Y17" s="3"/>
      <c r="Z17" s="3"/>
      <c r="AA17" s="3"/>
      <c r="AB17" s="3"/>
      <c r="AC17" s="3"/>
      <c r="AD17" s="3"/>
      <c r="AE17" s="3"/>
      <c r="AF17" s="3"/>
      <c r="AG17" s="3"/>
      <c r="AH17" s="3"/>
      <c r="AI17" s="3"/>
      <c r="AJ17" s="3"/>
      <c r="AK17" s="3"/>
      <c r="AL17" s="3"/>
    </row>
    <row r="18" spans="1:38" ht="31.5" customHeight="1" x14ac:dyDescent="0.2">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row>
    <row r="19" spans="1:38" ht="31.5" customHeight="1" x14ac:dyDescent="0.2">
      <c r="A19" s="61" t="s">
        <v>365</v>
      </c>
      <c r="B19" s="3"/>
      <c r="C19" s="3" t="b">
        <f>AND(EXACT(C14,('2-3 INQUIRIES'!C7+'2-3 INQUIRIES'!C11)))</f>
        <v>1</v>
      </c>
      <c r="D19" s="3" t="b">
        <f>AND(EXACT(D14,('2-3 INQUIRIES'!D7+'2-3 INQUIRIES'!D11)))</f>
        <v>1</v>
      </c>
      <c r="E19" s="3" t="b">
        <f>AND(EXACT(E14,('2-3 INQUIRIES'!E7+'2-3 INQUIRIES'!E11)))</f>
        <v>1</v>
      </c>
      <c r="F19" s="3" t="b">
        <f>AND(EXACT(F14,('2-3 INQUIRIES'!F7+'2-3 INQUIRIES'!F11)))</f>
        <v>1</v>
      </c>
      <c r="G19" s="3" t="b">
        <f>AND(EXACT(G14,('2-3 INQUIRIES'!G7+'2-3 INQUIRIES'!G11)))</f>
        <v>1</v>
      </c>
      <c r="H19" s="3" t="b">
        <f>AND(EXACT(H14,('2-3 INQUIRIES'!H7+'2-3 INQUIRIES'!H11)))</f>
        <v>1</v>
      </c>
      <c r="I19" s="3" t="b">
        <f>AND(EXACT(I14,('2-3 INQUIRIES'!I7+'2-3 INQUIRIES'!I11)))</f>
        <v>1</v>
      </c>
      <c r="J19" s="3" t="b">
        <f>AND(EXACT(J14,('2-3 INQUIRIES'!J7+'2-3 INQUIRIES'!J11)))</f>
        <v>1</v>
      </c>
      <c r="K19" s="3" t="b">
        <f>AND(EXACT(K14,('2-3 INQUIRIES'!K7+'2-3 INQUIRIES'!K11)))</f>
        <v>1</v>
      </c>
      <c r="L19" s="3" t="b">
        <f>AND(EXACT(L14,('2-3 INQUIRIES'!L7+'2-3 INQUIRIES'!L11)))</f>
        <v>1</v>
      </c>
      <c r="M19" s="3" t="b">
        <f>AND(EXACT(M14,('2-3 INQUIRIES'!M7+'2-3 INQUIRIES'!M11)))</f>
        <v>1</v>
      </c>
      <c r="N19" s="3" t="b">
        <f>AND(EXACT(N14,('2-3 INQUIRIES'!N7+'2-3 INQUIRIES'!N11)))</f>
        <v>1</v>
      </c>
      <c r="O19" s="3" t="b">
        <f>AND(EXACT(O14,('2-3 INQUIRIES'!O7+'2-3 INQUIRIES'!O11)))</f>
        <v>1</v>
      </c>
      <c r="P19" s="3" t="b">
        <f>AND(EXACT(P14,('2-3 INQUIRIES'!P7+'2-3 INQUIRIES'!P11)))</f>
        <v>1</v>
      </c>
      <c r="Q19" s="3" t="b">
        <f>AND(EXACT(Q14,('2-3 INQUIRIES'!Q7+'2-3 INQUIRIES'!Q11)))</f>
        <v>1</v>
      </c>
      <c r="R19" s="3" t="b">
        <f>AND(EXACT(R14,('2-3 INQUIRIES'!R7+'2-3 INQUIRIES'!R11)))</f>
        <v>1</v>
      </c>
      <c r="S19" s="3" t="b">
        <f>AND(EXACT(S14,('2-3 INQUIRIES'!S7+'2-3 INQUIRIES'!S11)))</f>
        <v>1</v>
      </c>
      <c r="T19" s="3" t="b">
        <f>AND(EXACT(T14,('2-3 INQUIRIES'!T7+'2-3 INQUIRIES'!T11)))</f>
        <v>1</v>
      </c>
      <c r="U19" s="3" t="b">
        <f>AND(EXACT(U14,('2-3 INQUIRIES'!U7+'2-3 INQUIRIES'!U11)))</f>
        <v>1</v>
      </c>
      <c r="V19" s="3" t="b">
        <f>AND(EXACT(V14,('2-3 INQUIRIES'!V7+'2-3 INQUIRIES'!V11)))</f>
        <v>1</v>
      </c>
      <c r="W19" s="3" t="b">
        <f>AND(EXACT(W14,('2-3 INQUIRIES'!W7+'2-3 INQUIRIES'!W11)))</f>
        <v>1</v>
      </c>
      <c r="X19" s="3" t="b">
        <f>AND(EXACT(X14,('2-3 INQUIRIES'!X7+'2-3 INQUIRIES'!X11)))</f>
        <v>1</v>
      </c>
      <c r="Y19" s="3" t="b">
        <f>AND(EXACT(Y14,('2-3 INQUIRIES'!Y7+'2-3 INQUIRIES'!Y11)))</f>
        <v>1</v>
      </c>
      <c r="Z19" s="3" t="b">
        <f>AND(EXACT(Z14,('2-3 INQUIRIES'!Z7+'2-3 INQUIRIES'!Z11)))</f>
        <v>1</v>
      </c>
      <c r="AA19" s="3" t="b">
        <f>AND(EXACT(AA14,('2-3 INQUIRIES'!AA7+'2-3 INQUIRIES'!AA11)))</f>
        <v>1</v>
      </c>
      <c r="AB19" s="3" t="b">
        <f>AND(EXACT(AB14,('2-3 INQUIRIES'!AB7+'2-3 INQUIRIES'!AB11)))</f>
        <v>1</v>
      </c>
      <c r="AC19" s="3" t="b">
        <f>AND(EXACT(AC14,('2-3 INQUIRIES'!AC7+'2-3 INQUIRIES'!AC11)))</f>
        <v>1</v>
      </c>
      <c r="AD19" s="3" t="b">
        <f>AND(EXACT(AD14,('2-3 INQUIRIES'!AD7+'2-3 INQUIRIES'!AD11)))</f>
        <v>1</v>
      </c>
      <c r="AE19" s="3" t="b">
        <f>AND(EXACT(AE14,('2-3 INQUIRIES'!AE7+'2-3 INQUIRIES'!AE11)))</f>
        <v>1</v>
      </c>
      <c r="AF19" s="3" t="b">
        <f>AND(EXACT(AF14,('2-3 INQUIRIES'!AF7+'2-3 INQUIRIES'!AF11)))</f>
        <v>1</v>
      </c>
      <c r="AG19" s="3" t="b">
        <f>AND(EXACT(AG14,('2-3 INQUIRIES'!AG7+'2-3 INQUIRIES'!AG11)))</f>
        <v>1</v>
      </c>
      <c r="AH19" s="3" t="b">
        <f>AND(EXACT(AH14,('2-3 INQUIRIES'!AH7+'2-3 INQUIRIES'!AH11)))</f>
        <v>1</v>
      </c>
      <c r="AI19" s="3" t="b">
        <f>AND(EXACT(AI14,('2-3 INQUIRIES'!AI7+'2-3 INQUIRIES'!AI11)))</f>
        <v>1</v>
      </c>
      <c r="AJ19" s="3" t="b">
        <f>AND(EXACT(AJ14,('2-3 INQUIRIES'!AJ7+'2-3 INQUIRIES'!AJ11)))</f>
        <v>1</v>
      </c>
      <c r="AK19" s="3" t="b">
        <f>AND(EXACT(AK14,('2-3 INQUIRIES'!AK7+'2-3 INQUIRIES'!AK11)))</f>
        <v>1</v>
      </c>
      <c r="AL19" s="3" t="b">
        <f>AND(EXACT(AL14,('2-3 INQUIRIES'!AL7+'2-3 INQUIRIES'!AL11)))</f>
        <v>1</v>
      </c>
    </row>
    <row r="20" spans="1:38" ht="31.5" customHeight="1" x14ac:dyDescent="0.2">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row>
    <row r="21" spans="1:38" ht="31.5" customHeight="1" x14ac:dyDescent="0.2">
      <c r="A21" s="15" t="s">
        <v>320</v>
      </c>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row>
    <row r="22" spans="1:38" ht="319" customHeight="1" x14ac:dyDescent="0.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row>
    <row r="23" spans="1:38" ht="15.75" customHeight="1" x14ac:dyDescent="0.2">
      <c r="A23" s="15" t="s">
        <v>436</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row>
    <row r="24" spans="1:38" ht="15.75" customHeight="1" x14ac:dyDescent="0.2">
      <c r="A24" s="16" t="s">
        <v>222</v>
      </c>
      <c r="B24" s="3"/>
      <c r="C24" s="17" t="s">
        <v>62</v>
      </c>
      <c r="D24" s="17" t="s">
        <v>63</v>
      </c>
      <c r="E24" s="17" t="s">
        <v>64</v>
      </c>
      <c r="F24" s="17" t="s">
        <v>65</v>
      </c>
      <c r="G24" s="17" t="s">
        <v>62</v>
      </c>
      <c r="H24" s="17" t="s">
        <v>63</v>
      </c>
      <c r="I24" s="17" t="s">
        <v>64</v>
      </c>
      <c r="J24" s="17" t="s">
        <v>65</v>
      </c>
      <c r="K24" s="17" t="s">
        <v>62</v>
      </c>
      <c r="L24" s="17" t="s">
        <v>63</v>
      </c>
      <c r="M24" s="17" t="s">
        <v>64</v>
      </c>
      <c r="N24" s="17" t="s">
        <v>65</v>
      </c>
      <c r="O24" s="17" t="s">
        <v>62</v>
      </c>
      <c r="P24" s="17" t="s">
        <v>63</v>
      </c>
      <c r="Q24" s="17" t="s">
        <v>64</v>
      </c>
      <c r="R24" s="17" t="s">
        <v>65</v>
      </c>
      <c r="S24" s="17" t="s">
        <v>62</v>
      </c>
      <c r="T24" s="17" t="s">
        <v>63</v>
      </c>
      <c r="U24" s="17" t="s">
        <v>64</v>
      </c>
      <c r="V24" s="17" t="s">
        <v>65</v>
      </c>
      <c r="W24" s="17" t="s">
        <v>62</v>
      </c>
      <c r="X24" s="17" t="s">
        <v>63</v>
      </c>
      <c r="Y24" s="17" t="s">
        <v>64</v>
      </c>
      <c r="Z24" s="17" t="s">
        <v>65</v>
      </c>
      <c r="AA24" s="17" t="s">
        <v>62</v>
      </c>
      <c r="AB24" s="17" t="s">
        <v>63</v>
      </c>
      <c r="AC24" s="17" t="s">
        <v>64</v>
      </c>
      <c r="AD24" s="17" t="s">
        <v>65</v>
      </c>
      <c r="AE24" s="17" t="s">
        <v>62</v>
      </c>
      <c r="AF24" s="17" t="s">
        <v>63</v>
      </c>
      <c r="AG24" s="17" t="s">
        <v>64</v>
      </c>
      <c r="AH24" s="17" t="s">
        <v>65</v>
      </c>
      <c r="AI24" s="58" t="s">
        <v>62</v>
      </c>
      <c r="AJ24" s="17" t="s">
        <v>63</v>
      </c>
      <c r="AK24" s="17" t="s">
        <v>64</v>
      </c>
      <c r="AL24" s="17" t="s">
        <v>65</v>
      </c>
    </row>
    <row r="25" spans="1:38" ht="15.75" customHeight="1" x14ac:dyDescent="0.2">
      <c r="A25" s="16" t="s">
        <v>373</v>
      </c>
      <c r="B25" s="3"/>
      <c r="C25" s="17" t="s">
        <v>385</v>
      </c>
      <c r="D25" s="17" t="s">
        <v>386</v>
      </c>
      <c r="E25" s="17" t="s">
        <v>387</v>
      </c>
      <c r="F25" s="17" t="s">
        <v>388</v>
      </c>
      <c r="G25" s="17" t="s">
        <v>66</v>
      </c>
      <c r="H25" s="17" t="s">
        <v>67</v>
      </c>
      <c r="I25" s="17" t="s">
        <v>68</v>
      </c>
      <c r="J25" s="17" t="s">
        <v>69</v>
      </c>
      <c r="K25" s="17" t="s">
        <v>70</v>
      </c>
      <c r="L25" s="17" t="s">
        <v>71</v>
      </c>
      <c r="M25" s="17" t="s">
        <v>72</v>
      </c>
      <c r="N25" s="17" t="s">
        <v>73</v>
      </c>
      <c r="O25" s="17" t="s">
        <v>74</v>
      </c>
      <c r="P25" s="17" t="s">
        <v>75</v>
      </c>
      <c r="Q25" s="17" t="s">
        <v>76</v>
      </c>
      <c r="R25" s="17" t="s">
        <v>77</v>
      </c>
      <c r="S25" s="58" t="s">
        <v>321</v>
      </c>
      <c r="T25" s="17" t="s">
        <v>322</v>
      </c>
      <c r="U25" s="17" t="s">
        <v>323</v>
      </c>
      <c r="V25" s="17" t="s">
        <v>324</v>
      </c>
      <c r="W25" s="58" t="s">
        <v>325</v>
      </c>
      <c r="X25" s="17" t="s">
        <v>326</v>
      </c>
      <c r="Y25" s="17" t="s">
        <v>327</v>
      </c>
      <c r="Z25" s="17" t="s">
        <v>328</v>
      </c>
      <c r="AA25" s="17" t="s">
        <v>329</v>
      </c>
      <c r="AB25" s="17" t="s">
        <v>330</v>
      </c>
      <c r="AC25" s="17" t="s">
        <v>331</v>
      </c>
      <c r="AD25" s="17" t="s">
        <v>332</v>
      </c>
      <c r="AE25" s="17" t="s">
        <v>333</v>
      </c>
      <c r="AF25" s="17" t="s">
        <v>334</v>
      </c>
      <c r="AG25" s="17" t="s">
        <v>335</v>
      </c>
      <c r="AH25" s="17" t="s">
        <v>336</v>
      </c>
      <c r="AI25" s="17" t="s">
        <v>337</v>
      </c>
      <c r="AJ25" s="17" t="s">
        <v>338</v>
      </c>
      <c r="AK25" s="17" t="s">
        <v>339</v>
      </c>
      <c r="AL25" s="17" t="s">
        <v>340</v>
      </c>
    </row>
    <row r="26" spans="1:38" ht="15.75" customHeight="1" x14ac:dyDescent="0.2">
      <c r="A26" s="18" t="s">
        <v>435</v>
      </c>
      <c r="B26" s="3"/>
      <c r="C26" s="66">
        <f>SUM(C7:C11)</f>
        <v>0</v>
      </c>
      <c r="D26" s="66">
        <f t="shared" ref="D26:AL26" si="3">SUM(D7:D11)</f>
        <v>0</v>
      </c>
      <c r="E26" s="66">
        <f t="shared" si="3"/>
        <v>0</v>
      </c>
      <c r="F26" s="66">
        <f t="shared" si="3"/>
        <v>0</v>
      </c>
      <c r="G26" s="66">
        <f t="shared" si="3"/>
        <v>0</v>
      </c>
      <c r="H26" s="66">
        <f t="shared" si="3"/>
        <v>0</v>
      </c>
      <c r="I26" s="66">
        <f t="shared" si="3"/>
        <v>0</v>
      </c>
      <c r="J26" s="66">
        <f t="shared" si="3"/>
        <v>0</v>
      </c>
      <c r="K26" s="66">
        <f t="shared" si="3"/>
        <v>0</v>
      </c>
      <c r="L26" s="66">
        <f t="shared" si="3"/>
        <v>0</v>
      </c>
      <c r="M26" s="66">
        <f t="shared" si="3"/>
        <v>0</v>
      </c>
      <c r="N26" s="66">
        <f t="shared" si="3"/>
        <v>0</v>
      </c>
      <c r="O26" s="66">
        <f t="shared" si="3"/>
        <v>0</v>
      </c>
      <c r="P26" s="66">
        <f t="shared" si="3"/>
        <v>0</v>
      </c>
      <c r="Q26" s="66">
        <f t="shared" si="3"/>
        <v>0</v>
      </c>
      <c r="R26" s="66">
        <f t="shared" si="3"/>
        <v>0</v>
      </c>
      <c r="S26" s="66">
        <f t="shared" si="3"/>
        <v>0</v>
      </c>
      <c r="T26" s="66">
        <f t="shared" si="3"/>
        <v>0</v>
      </c>
      <c r="U26" s="66">
        <f t="shared" si="3"/>
        <v>0</v>
      </c>
      <c r="V26" s="66">
        <f t="shared" si="3"/>
        <v>0</v>
      </c>
      <c r="W26" s="66">
        <f t="shared" si="3"/>
        <v>0</v>
      </c>
      <c r="X26" s="66">
        <f t="shared" si="3"/>
        <v>0</v>
      </c>
      <c r="Y26" s="66">
        <f t="shared" si="3"/>
        <v>0</v>
      </c>
      <c r="Z26" s="66">
        <f t="shared" si="3"/>
        <v>0</v>
      </c>
      <c r="AA26" s="66">
        <f t="shared" si="3"/>
        <v>0</v>
      </c>
      <c r="AB26" s="66">
        <f t="shared" si="3"/>
        <v>0</v>
      </c>
      <c r="AC26" s="66">
        <f t="shared" si="3"/>
        <v>0</v>
      </c>
      <c r="AD26" s="66">
        <f t="shared" si="3"/>
        <v>0</v>
      </c>
      <c r="AE26" s="66">
        <f t="shared" si="3"/>
        <v>0</v>
      </c>
      <c r="AF26" s="66">
        <f t="shared" si="3"/>
        <v>0</v>
      </c>
      <c r="AG26" s="66">
        <f t="shared" si="3"/>
        <v>0</v>
      </c>
      <c r="AH26" s="66">
        <f t="shared" si="3"/>
        <v>0</v>
      </c>
      <c r="AI26" s="66">
        <f t="shared" si="3"/>
        <v>0</v>
      </c>
      <c r="AJ26" s="66">
        <f t="shared" si="3"/>
        <v>0</v>
      </c>
      <c r="AK26" s="66">
        <f t="shared" si="3"/>
        <v>0</v>
      </c>
      <c r="AL26" s="66">
        <f t="shared" si="3"/>
        <v>0</v>
      </c>
    </row>
    <row r="27" spans="1:38" ht="15.75" customHeight="1" x14ac:dyDescent="0.2">
      <c r="A27" s="18" t="s">
        <v>434</v>
      </c>
      <c r="B27" s="3"/>
      <c r="C27" s="66">
        <f>SUM(C12:C13)</f>
        <v>0</v>
      </c>
      <c r="D27" s="66">
        <f t="shared" ref="D27:AL27" si="4">SUM(D12:D13)</f>
        <v>0</v>
      </c>
      <c r="E27" s="66">
        <f t="shared" si="4"/>
        <v>0</v>
      </c>
      <c r="F27" s="66">
        <f t="shared" si="4"/>
        <v>0</v>
      </c>
      <c r="G27" s="66">
        <f t="shared" si="4"/>
        <v>0</v>
      </c>
      <c r="H27" s="66">
        <f t="shared" si="4"/>
        <v>0</v>
      </c>
      <c r="I27" s="66">
        <f t="shared" si="4"/>
        <v>0</v>
      </c>
      <c r="J27" s="66">
        <f t="shared" si="4"/>
        <v>0</v>
      </c>
      <c r="K27" s="66">
        <f t="shared" si="4"/>
        <v>0</v>
      </c>
      <c r="L27" s="66">
        <f t="shared" si="4"/>
        <v>0</v>
      </c>
      <c r="M27" s="66">
        <f t="shared" si="4"/>
        <v>0</v>
      </c>
      <c r="N27" s="66">
        <f t="shared" si="4"/>
        <v>0</v>
      </c>
      <c r="O27" s="66">
        <f t="shared" si="4"/>
        <v>0</v>
      </c>
      <c r="P27" s="66">
        <f t="shared" si="4"/>
        <v>0</v>
      </c>
      <c r="Q27" s="66">
        <f t="shared" si="4"/>
        <v>0</v>
      </c>
      <c r="R27" s="66">
        <f t="shared" si="4"/>
        <v>0</v>
      </c>
      <c r="S27" s="66">
        <f t="shared" si="4"/>
        <v>0</v>
      </c>
      <c r="T27" s="66">
        <f t="shared" si="4"/>
        <v>0</v>
      </c>
      <c r="U27" s="66">
        <f t="shared" si="4"/>
        <v>0</v>
      </c>
      <c r="V27" s="66">
        <f t="shared" si="4"/>
        <v>0</v>
      </c>
      <c r="W27" s="66">
        <f t="shared" si="4"/>
        <v>0</v>
      </c>
      <c r="X27" s="66">
        <f t="shared" si="4"/>
        <v>0</v>
      </c>
      <c r="Y27" s="66">
        <f t="shared" si="4"/>
        <v>0</v>
      </c>
      <c r="Z27" s="66">
        <f t="shared" si="4"/>
        <v>0</v>
      </c>
      <c r="AA27" s="66">
        <f t="shared" si="4"/>
        <v>0</v>
      </c>
      <c r="AB27" s="66">
        <f t="shared" si="4"/>
        <v>0</v>
      </c>
      <c r="AC27" s="66">
        <f t="shared" si="4"/>
        <v>0</v>
      </c>
      <c r="AD27" s="66">
        <f t="shared" si="4"/>
        <v>0</v>
      </c>
      <c r="AE27" s="66">
        <f t="shared" si="4"/>
        <v>0</v>
      </c>
      <c r="AF27" s="66">
        <f t="shared" si="4"/>
        <v>0</v>
      </c>
      <c r="AG27" s="66">
        <f t="shared" si="4"/>
        <v>0</v>
      </c>
      <c r="AH27" s="66">
        <f t="shared" si="4"/>
        <v>0</v>
      </c>
      <c r="AI27" s="66">
        <f t="shared" si="4"/>
        <v>0</v>
      </c>
      <c r="AJ27" s="66">
        <f t="shared" si="4"/>
        <v>0</v>
      </c>
      <c r="AK27" s="66">
        <f t="shared" si="4"/>
        <v>0</v>
      </c>
      <c r="AL27" s="66">
        <f t="shared" si="4"/>
        <v>0</v>
      </c>
    </row>
    <row r="28" spans="1:38" ht="31.5" customHeight="1" x14ac:dyDescent="0.2">
      <c r="A28" s="29"/>
      <c r="B28" s="29"/>
      <c r="C28" s="29"/>
      <c r="D28" s="29"/>
      <c r="E28" s="29"/>
      <c r="F28" s="29"/>
      <c r="G28" s="29"/>
      <c r="H28" s="29"/>
      <c r="I28" s="29"/>
      <c r="J28" s="29"/>
      <c r="K28" s="29"/>
      <c r="L28" s="29"/>
      <c r="M28" s="29"/>
      <c r="N28" s="29"/>
      <c r="O28" s="29"/>
      <c r="P28" s="29"/>
      <c r="Q28" s="29"/>
      <c r="R28" s="29"/>
      <c r="S28" s="29"/>
      <c r="T28" s="29"/>
      <c r="U28" s="3"/>
      <c r="V28" s="3"/>
      <c r="W28" s="3"/>
      <c r="X28" s="3"/>
      <c r="Y28" s="3"/>
      <c r="Z28" s="3"/>
      <c r="AA28" s="3"/>
      <c r="AB28" s="3"/>
      <c r="AC28" s="3"/>
      <c r="AD28" s="3"/>
      <c r="AE28" s="3"/>
      <c r="AF28" s="3"/>
      <c r="AG28" s="3"/>
      <c r="AH28" s="3"/>
      <c r="AI28" s="3"/>
      <c r="AJ28" s="3"/>
      <c r="AK28" s="3"/>
      <c r="AL28" s="3"/>
    </row>
    <row r="29" spans="1:38" ht="17.25" customHeight="1" x14ac:dyDescent="0.2">
      <c r="A29" s="15" t="s">
        <v>117</v>
      </c>
      <c r="B29" s="3"/>
      <c r="C29" s="25"/>
      <c r="D29" s="25"/>
      <c r="E29" s="25"/>
      <c r="F29" s="25"/>
      <c r="G29" s="25"/>
      <c r="H29" s="25"/>
      <c r="I29" s="25"/>
      <c r="J29" s="25"/>
      <c r="K29" s="25"/>
      <c r="L29" s="25"/>
      <c r="M29" s="25"/>
      <c r="N29" s="25"/>
      <c r="O29" s="3"/>
      <c r="P29" s="3"/>
      <c r="Q29" s="3"/>
      <c r="R29" s="3"/>
      <c r="S29" s="3"/>
      <c r="T29" s="3"/>
      <c r="U29" s="3"/>
      <c r="V29" s="3"/>
      <c r="W29" s="3"/>
      <c r="X29" s="3"/>
      <c r="Y29" s="3"/>
      <c r="Z29" s="3"/>
      <c r="AA29" s="3"/>
      <c r="AB29" s="3"/>
      <c r="AC29" s="3"/>
      <c r="AD29" s="3"/>
      <c r="AE29" s="3"/>
      <c r="AF29" s="3"/>
      <c r="AG29" s="3"/>
      <c r="AH29" s="3"/>
      <c r="AI29" s="3"/>
      <c r="AJ29" s="3"/>
      <c r="AK29" s="3"/>
      <c r="AL29" s="3"/>
    </row>
    <row r="30" spans="1:38" ht="15.75" customHeight="1" x14ac:dyDescent="0.2">
      <c r="A30" s="31" t="str">
        <f>A1</f>
        <v>Indicator 14</v>
      </c>
      <c r="B30" s="3"/>
      <c r="C30" s="42" t="s">
        <v>230</v>
      </c>
    </row>
    <row r="31" spans="1:38" ht="17.25" customHeight="1" x14ac:dyDescent="0.2">
      <c r="A31" s="24"/>
      <c r="B31" s="3"/>
      <c r="C31" s="32"/>
      <c r="D31" s="32"/>
      <c r="E31" s="32"/>
      <c r="F31" s="32"/>
      <c r="G31" s="32"/>
      <c r="H31" s="32"/>
      <c r="I31" s="32"/>
      <c r="J31" s="32"/>
      <c r="K31" s="32"/>
      <c r="L31" s="32"/>
      <c r="M31" s="32"/>
      <c r="N31" s="32"/>
      <c r="O31" s="3"/>
      <c r="P31" s="3"/>
      <c r="Q31" s="3"/>
      <c r="R31" s="3"/>
      <c r="S31" s="3"/>
      <c r="T31" s="3"/>
      <c r="U31" s="3"/>
      <c r="V31" s="3"/>
      <c r="W31" s="3"/>
      <c r="X31" s="3"/>
      <c r="Y31" s="3"/>
      <c r="Z31" s="3"/>
      <c r="AA31" s="3"/>
      <c r="AB31" s="3"/>
      <c r="AC31" s="3"/>
      <c r="AD31" s="3"/>
      <c r="AE31" s="3"/>
      <c r="AF31" s="3"/>
      <c r="AG31" s="3"/>
      <c r="AH31" s="3"/>
      <c r="AI31" s="3"/>
      <c r="AJ31" s="3"/>
      <c r="AK31" s="3"/>
      <c r="AL31" s="3"/>
    </row>
    <row r="32" spans="1:38" ht="15.75" customHeight="1" x14ac:dyDescent="0.2">
      <c r="A32" s="15" t="s">
        <v>142</v>
      </c>
      <c r="B32" s="3"/>
      <c r="C32" s="32"/>
      <c r="D32" s="32"/>
      <c r="E32" s="32"/>
      <c r="F32" s="32"/>
      <c r="G32" s="32"/>
      <c r="H32" s="32"/>
      <c r="I32" s="32"/>
      <c r="J32" s="32"/>
      <c r="K32" s="32"/>
      <c r="L32" s="32"/>
      <c r="M32" s="32"/>
      <c r="N32" s="32"/>
      <c r="O32" s="3"/>
      <c r="P32" s="3"/>
      <c r="Q32" s="3"/>
      <c r="R32" s="3"/>
      <c r="S32" s="3"/>
      <c r="T32" s="3"/>
      <c r="U32" s="3"/>
      <c r="V32" s="3"/>
      <c r="W32" s="3"/>
      <c r="X32" s="3"/>
      <c r="Y32" s="3"/>
      <c r="Z32" s="3"/>
      <c r="AA32" s="3"/>
      <c r="AB32" s="3"/>
      <c r="AC32" s="3"/>
      <c r="AD32" s="3"/>
      <c r="AE32" s="3"/>
      <c r="AF32" s="3"/>
      <c r="AG32" s="3"/>
      <c r="AH32" s="3"/>
      <c r="AI32" s="3"/>
      <c r="AJ32" s="3"/>
      <c r="AK32" s="3"/>
      <c r="AL32" s="3"/>
    </row>
    <row r="33" spans="1:38" ht="15.75" customHeight="1" x14ac:dyDescent="0.2">
      <c r="A33" s="38" t="str">
        <f>A1</f>
        <v>Indicator 14</v>
      </c>
      <c r="B33" s="3"/>
      <c r="C33" s="42" t="s">
        <v>143</v>
      </c>
      <c r="O33" s="3"/>
      <c r="P33" s="3"/>
      <c r="Q33" s="3"/>
      <c r="R33" s="3"/>
      <c r="S33" s="3"/>
      <c r="T33" s="3"/>
      <c r="U33" s="3"/>
      <c r="V33" s="3"/>
      <c r="W33" s="3"/>
      <c r="X33" s="3"/>
      <c r="Y33" s="3"/>
      <c r="Z33" s="3"/>
      <c r="AA33" s="3"/>
      <c r="AB33" s="3"/>
      <c r="AC33" s="3"/>
      <c r="AD33" s="3"/>
      <c r="AE33" s="3"/>
      <c r="AF33" s="3"/>
      <c r="AG33" s="3"/>
      <c r="AH33" s="3"/>
      <c r="AI33" s="3"/>
      <c r="AJ33" s="3"/>
      <c r="AK33" s="3"/>
      <c r="AL33" s="3"/>
    </row>
    <row r="34" spans="1:38" ht="15.75" customHeight="1" x14ac:dyDescent="0.2">
      <c r="A34" s="3"/>
      <c r="B34" s="3"/>
      <c r="C34" s="32"/>
      <c r="D34" s="32"/>
      <c r="E34" s="32"/>
      <c r="F34" s="32"/>
      <c r="G34" s="32"/>
      <c r="H34" s="32"/>
      <c r="I34" s="32"/>
      <c r="J34" s="32"/>
      <c r="K34" s="32"/>
      <c r="L34" s="32"/>
      <c r="M34" s="32"/>
      <c r="N34" s="32"/>
      <c r="O34" s="3"/>
      <c r="P34" s="3"/>
      <c r="Q34" s="3"/>
      <c r="R34" s="3"/>
      <c r="S34" s="3"/>
      <c r="T34" s="3"/>
      <c r="U34" s="3"/>
      <c r="V34" s="3"/>
      <c r="W34" s="3"/>
      <c r="X34" s="3"/>
      <c r="Y34" s="3"/>
      <c r="Z34" s="3"/>
      <c r="AA34" s="3"/>
      <c r="AB34" s="3"/>
      <c r="AC34" s="3"/>
      <c r="AD34" s="3"/>
      <c r="AE34" s="3"/>
      <c r="AF34" s="3"/>
      <c r="AG34" s="3"/>
      <c r="AH34" s="3"/>
      <c r="AI34" s="3"/>
      <c r="AJ34" s="3"/>
      <c r="AK34" s="3"/>
      <c r="AL34" s="3"/>
    </row>
    <row r="35" spans="1:38" ht="15.75" customHeight="1" x14ac:dyDescent="0.2">
      <c r="A35" s="15" t="s">
        <v>144</v>
      </c>
      <c r="B35" s="3"/>
      <c r="C35" s="32"/>
      <c r="D35" s="32"/>
      <c r="E35" s="32"/>
      <c r="F35" s="32"/>
      <c r="G35" s="32"/>
      <c r="H35" s="32"/>
      <c r="I35" s="32"/>
      <c r="J35" s="32"/>
      <c r="K35" s="32"/>
      <c r="L35" s="32"/>
      <c r="M35" s="32"/>
      <c r="N35" s="32"/>
      <c r="O35" s="3"/>
      <c r="P35" s="3"/>
      <c r="Q35" s="3"/>
      <c r="R35" s="3"/>
      <c r="S35" s="3"/>
      <c r="T35" s="3"/>
      <c r="U35" s="3"/>
      <c r="V35" s="3"/>
      <c r="W35" s="3"/>
      <c r="X35" s="3"/>
      <c r="Y35" s="3"/>
      <c r="Z35" s="3"/>
      <c r="AA35" s="3"/>
      <c r="AB35" s="3"/>
      <c r="AC35" s="3"/>
      <c r="AD35" s="3"/>
      <c r="AE35" s="3"/>
      <c r="AF35" s="3"/>
      <c r="AG35" s="3"/>
      <c r="AH35" s="3"/>
      <c r="AI35" s="3"/>
      <c r="AJ35" s="3"/>
      <c r="AK35" s="3"/>
      <c r="AL35" s="3"/>
    </row>
    <row r="36" spans="1:38" ht="31" customHeight="1" x14ac:dyDescent="0.2">
      <c r="A36" s="31" t="str">
        <f>A1</f>
        <v>Indicator 14</v>
      </c>
      <c r="B36" s="3"/>
      <c r="C36" s="70" t="s">
        <v>231</v>
      </c>
      <c r="O36" s="36"/>
      <c r="P36" s="36"/>
      <c r="Q36" s="36"/>
      <c r="R36" s="36"/>
      <c r="S36" s="36"/>
      <c r="T36" s="36"/>
      <c r="U36" s="36"/>
      <c r="V36" s="36"/>
      <c r="W36" s="36"/>
      <c r="X36" s="36"/>
      <c r="Y36" s="36"/>
      <c r="Z36" s="36"/>
      <c r="AA36" s="36"/>
      <c r="AB36" s="3"/>
      <c r="AC36" s="3"/>
      <c r="AD36" s="3"/>
      <c r="AE36" s="3"/>
      <c r="AF36" s="3"/>
      <c r="AG36" s="3"/>
      <c r="AH36" s="3"/>
      <c r="AI36" s="3"/>
      <c r="AJ36" s="3"/>
      <c r="AK36" s="3"/>
      <c r="AL36" s="3"/>
    </row>
    <row r="37" spans="1:38" ht="15" customHeight="1" x14ac:dyDescent="0.2">
      <c r="A37" s="80"/>
      <c r="B37" s="3"/>
      <c r="C37" s="79" t="s">
        <v>444</v>
      </c>
      <c r="D37" s="32"/>
      <c r="E37" s="32"/>
      <c r="F37" s="32"/>
      <c r="G37" s="32"/>
      <c r="H37" s="32"/>
      <c r="I37" s="32"/>
      <c r="J37" s="32"/>
      <c r="K37" s="32"/>
      <c r="L37" s="32"/>
      <c r="M37" s="32"/>
      <c r="N37" s="32"/>
      <c r="O37" s="3"/>
      <c r="P37" s="3"/>
      <c r="Q37" s="3"/>
      <c r="R37" s="3"/>
      <c r="S37" s="3"/>
      <c r="T37" s="3"/>
      <c r="U37" s="3"/>
      <c r="V37" s="3"/>
      <c r="W37" s="3"/>
      <c r="X37" s="3"/>
      <c r="Y37" s="3"/>
      <c r="Z37" s="3"/>
      <c r="AA37" s="3"/>
      <c r="AB37" s="3"/>
      <c r="AC37" s="3"/>
      <c r="AD37" s="3"/>
      <c r="AE37" s="3"/>
      <c r="AF37" s="3"/>
      <c r="AG37" s="3"/>
      <c r="AH37" s="3"/>
      <c r="AI37" s="3"/>
      <c r="AJ37" s="3"/>
      <c r="AK37" s="3"/>
      <c r="AL37" s="3"/>
    </row>
    <row r="38" spans="1:38" ht="8" customHeight="1" x14ac:dyDescent="0.2">
      <c r="A38" s="80"/>
      <c r="B38" s="3"/>
      <c r="C38" s="77"/>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row>
    <row r="39" spans="1:38" ht="15.75" customHeight="1" x14ac:dyDescent="0.2">
      <c r="A39" s="80"/>
      <c r="B39" s="3"/>
      <c r="C39" s="77" t="s">
        <v>445</v>
      </c>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row>
    <row r="40" spans="1:38" ht="15" customHeight="1" x14ac:dyDescent="0.2">
      <c r="A40" s="80"/>
      <c r="B40" s="3"/>
      <c r="C40" s="77"/>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row>
    <row r="41" spans="1:38" ht="15.75" customHeight="1" x14ac:dyDescent="0.2">
      <c r="A41" s="80"/>
      <c r="B41" s="3"/>
      <c r="C41" s="78" t="s">
        <v>443</v>
      </c>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row>
    <row r="42" spans="1:38" ht="15.75" customHeight="1" x14ac:dyDescent="0.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row>
    <row r="43" spans="1:38" ht="15.7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row>
    <row r="44" spans="1:38" ht="15.7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row>
    <row r="45" spans="1:38" ht="15.7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row>
    <row r="46" spans="1:38"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row>
    <row r="47" spans="1:38"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row>
    <row r="48" spans="1:38"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row>
    <row r="49" spans="1:38"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row>
    <row r="50" spans="1:38"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row>
    <row r="51" spans="1:38"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row>
    <row r="52" spans="1:38"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row>
    <row r="53" spans="1:38"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row>
    <row r="54" spans="1:38"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row>
    <row r="55" spans="1:38"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row>
    <row r="56" spans="1:38"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row>
    <row r="57" spans="1:38"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row>
    <row r="58" spans="1:38"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row>
    <row r="59" spans="1:38"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row>
    <row r="60" spans="1:38"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row>
    <row r="61" spans="1:38"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row>
    <row r="62" spans="1:38"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row>
    <row r="63" spans="1:38"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row>
    <row r="64" spans="1:38"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row>
    <row r="65" spans="1:38"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row>
    <row r="66" spans="1:38"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row>
    <row r="67" spans="1:38"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row>
    <row r="68" spans="1:38"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row>
    <row r="69" spans="1:38"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row>
    <row r="70" spans="1:38"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row>
    <row r="71" spans="1:38" ht="15.7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row>
    <row r="72" spans="1:38" ht="15.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row>
    <row r="73" spans="1:38"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row>
    <row r="74" spans="1:38"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row>
    <row r="75" spans="1:38"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row>
    <row r="76" spans="1:38"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row>
    <row r="77" spans="1:38"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row>
    <row r="78" spans="1:38"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row>
    <row r="79" spans="1:38"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row>
    <row r="80" spans="1:38"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row>
    <row r="81" spans="1:38"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row>
    <row r="82" spans="1:38"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row>
    <row r="83" spans="1:38"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row>
    <row r="84" spans="1:38"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row>
    <row r="85" spans="1:38"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row>
    <row r="86" spans="1:38"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row>
    <row r="87" spans="1:38"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row>
    <row r="88" spans="1:38"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row>
    <row r="89" spans="1:38"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row>
    <row r="90" spans="1:38"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row>
    <row r="91" spans="1:38"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row>
    <row r="92" spans="1:38"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row>
    <row r="93" spans="1:38"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row>
    <row r="94" spans="1:38"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row>
    <row r="95" spans="1:38"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row>
    <row r="96" spans="1:38"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row>
    <row r="97" spans="1:38"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row>
    <row r="98" spans="1:38"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row>
    <row r="99" spans="1:38"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row>
    <row r="100" spans="1:38"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row>
    <row r="101" spans="1:38"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row>
    <row r="102" spans="1:38"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row>
    <row r="103" spans="1:38"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row>
    <row r="104" spans="1:38"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row>
    <row r="105" spans="1:38"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row>
    <row r="106" spans="1:38"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row>
    <row r="107" spans="1:38"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row>
    <row r="108" spans="1:38"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row>
    <row r="109" spans="1:38"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row>
    <row r="110" spans="1:38"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row>
    <row r="111" spans="1:38"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row>
    <row r="112" spans="1:38"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row>
    <row r="113" spans="1:38"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row>
    <row r="114" spans="1:38"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row>
    <row r="115" spans="1:38"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row>
    <row r="116" spans="1:38"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row>
    <row r="117" spans="1:38"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row>
    <row r="118" spans="1:38"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row>
    <row r="119" spans="1:38"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row>
    <row r="120" spans="1:38"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row>
    <row r="121" spans="1:38"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row>
    <row r="122" spans="1:38"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row>
    <row r="123" spans="1:38"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row>
    <row r="124" spans="1:38"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row>
    <row r="125" spans="1:38"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row>
    <row r="126" spans="1:38"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row>
    <row r="127" spans="1:38"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row>
    <row r="128" spans="1:38"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row>
    <row r="129" spans="1:38"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row>
    <row r="130" spans="1:38"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row>
    <row r="131" spans="1:38"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row>
    <row r="132" spans="1:38"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row>
    <row r="133" spans="1:38"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row>
    <row r="134" spans="1:38"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row>
    <row r="135" spans="1:38"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row>
    <row r="136" spans="1:38"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row>
    <row r="137" spans="1:38"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row>
    <row r="138" spans="1:38"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row>
    <row r="139" spans="1:38"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row>
    <row r="140" spans="1:38"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row>
    <row r="141" spans="1:38"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row>
    <row r="142" spans="1:38"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row>
    <row r="143" spans="1:38"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row>
    <row r="144" spans="1:38"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row>
    <row r="145" spans="1:38"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row>
    <row r="146" spans="1:38"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row>
    <row r="147" spans="1:38"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row>
    <row r="148" spans="1:38"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row>
    <row r="149" spans="1:38"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row>
    <row r="150" spans="1:38"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row>
    <row r="151" spans="1:38"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row>
    <row r="152" spans="1:38"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row>
    <row r="153" spans="1:38"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row>
    <row r="154" spans="1:38"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row>
    <row r="155" spans="1:38"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row>
    <row r="156" spans="1:38"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row>
    <row r="157" spans="1:38"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row>
    <row r="158" spans="1:38"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row>
    <row r="159" spans="1:38"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row>
    <row r="160" spans="1:38"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row>
    <row r="161" spans="1:38"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row>
    <row r="162" spans="1:38"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row>
    <row r="163" spans="1:38"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row>
    <row r="164" spans="1:38"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row>
    <row r="165" spans="1:38"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row>
    <row r="166" spans="1:38"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row>
    <row r="167" spans="1:38"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row>
    <row r="168" spans="1:38"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row>
    <row r="169" spans="1:38"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row>
    <row r="170" spans="1:38"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row>
    <row r="171" spans="1:38"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row>
    <row r="172" spans="1:38"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row>
    <row r="173" spans="1:38"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row>
    <row r="174" spans="1:38"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row>
    <row r="175" spans="1:38"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row>
    <row r="176" spans="1:38"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row>
    <row r="177" spans="1:38"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row>
    <row r="178" spans="1:38"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row>
    <row r="179" spans="1:38"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row>
    <row r="180" spans="1:38"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row>
    <row r="181" spans="1:38"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row>
    <row r="182" spans="1:38"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row>
    <row r="183" spans="1:38"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row>
    <row r="184" spans="1:38"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row>
    <row r="185" spans="1:38"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row>
    <row r="186" spans="1:38"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row>
    <row r="187" spans="1:38"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row>
    <row r="188" spans="1:38"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row>
    <row r="189" spans="1:38"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row>
    <row r="190" spans="1:38"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row>
    <row r="191" spans="1:38"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row>
    <row r="192" spans="1:38"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row>
    <row r="193" spans="1:38"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row>
    <row r="194" spans="1:38"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row>
    <row r="195" spans="1:38"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row>
    <row r="196" spans="1:38"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row>
    <row r="197" spans="1:38"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row>
    <row r="198" spans="1:38"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row>
    <row r="199" spans="1:38"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row>
    <row r="200" spans="1:38"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row>
    <row r="201" spans="1:38"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row>
    <row r="202" spans="1:38"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row>
    <row r="203" spans="1:38"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row>
    <row r="204" spans="1:38"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row>
    <row r="205" spans="1:38"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row>
    <row r="206" spans="1:38"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row>
    <row r="207" spans="1:38"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row>
    <row r="208" spans="1:38"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row>
    <row r="209" spans="1:38"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row>
    <row r="210" spans="1:38"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row>
    <row r="211" spans="1:38"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row>
    <row r="212" spans="1:38"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row>
    <row r="213" spans="1:38"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row>
    <row r="214" spans="1:38"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row>
    <row r="215" spans="1:38"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row>
    <row r="216" spans="1:38"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row>
    <row r="217" spans="1:38"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row>
    <row r="218" spans="1:38"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row>
    <row r="219" spans="1:38"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row>
    <row r="220" spans="1:38"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row>
    <row r="221" spans="1:38"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row>
    <row r="222" spans="1:38"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row>
    <row r="223" spans="1:38"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row>
    <row r="224" spans="1:38"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row>
    <row r="225" spans="1:38"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row>
    <row r="226" spans="1:38"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row>
    <row r="227" spans="1:38"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row>
    <row r="228" spans="1:38"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row>
    <row r="229" spans="1:38"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row>
    <row r="230" spans="1:38"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row>
    <row r="231" spans="1:38"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row>
    <row r="232" spans="1:38"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row>
    <row r="233" spans="1:38"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row>
    <row r="234" spans="1:38"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row>
    <row r="235" spans="1:38"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row>
    <row r="236" spans="1:38"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row>
    <row r="237" spans="1:38" ht="15.75" customHeight="1" x14ac:dyDescent="0.2"/>
    <row r="238" spans="1:38" ht="15.75" customHeight="1" x14ac:dyDescent="0.2"/>
    <row r="239" spans="1:38" ht="15.75" customHeight="1" x14ac:dyDescent="0.2"/>
    <row r="240" spans="1:38"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sheetData>
  <conditionalFormatting sqref="A19">
    <cfRule type="containsText" dxfId="9" priority="3" operator="containsText" text="TRUE">
      <formula>NOT(ISERROR(SEARCH("TRUE",A19)))</formula>
    </cfRule>
    <cfRule type="containsText" dxfId="8" priority="4" operator="containsText" text="FALSE">
      <formula>NOT(ISERROR(SEARCH("FALSE",A19)))</formula>
    </cfRule>
  </conditionalFormatting>
  <conditionalFormatting sqref="C19:AL19">
    <cfRule type="containsText" dxfId="7" priority="1" operator="containsText" text="TRUE">
      <formula>NOT(ISERROR(SEARCH("TRUE",C19)))</formula>
    </cfRule>
    <cfRule type="containsText" dxfId="6" priority="2" operator="containsText" text="FALSE">
      <formula>NOT(ISERROR(SEARCH("FALSE",C19)))</formula>
    </cfRule>
  </conditionalFormatting>
  <hyperlinks>
    <hyperlink ref="C36" r:id="rId1" xr:uid="{00000000-0004-0000-0800-000000000000}"/>
  </hyperlinks>
  <pageMargins left="0.7" right="0.7" top="0.75" bottom="0.75" header="0" footer="0"/>
  <pageSetup paperSize="9" orientation="portrait"/>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sheetPr>
  <dimension ref="A1:AL1004"/>
  <sheetViews>
    <sheetView showGridLines="0" zoomScale="120" zoomScaleNormal="120" workbookViewId="0">
      <selection activeCell="C23" sqref="C23:J34"/>
    </sheetView>
  </sheetViews>
  <sheetFormatPr baseColWidth="10" defaultColWidth="14.5" defaultRowHeight="15" customHeight="1" x14ac:dyDescent="0.2"/>
  <cols>
    <col min="1" max="1" width="51.6640625" customWidth="1"/>
    <col min="2" max="2" width="1.33203125" customWidth="1"/>
    <col min="3" max="27" width="9.1640625" customWidth="1"/>
    <col min="28" max="34" width="9.33203125" customWidth="1"/>
    <col min="35" max="35" width="10.6640625" bestFit="1" customWidth="1"/>
    <col min="36" max="36" width="11" bestFit="1" customWidth="1"/>
    <col min="37" max="37" width="10.6640625" bestFit="1" customWidth="1"/>
    <col min="38" max="38" width="11" bestFit="1" customWidth="1"/>
  </cols>
  <sheetData>
    <row r="1" spans="1:38" ht="31.5" customHeight="1" x14ac:dyDescent="0.2">
      <c r="A1" s="10" t="s">
        <v>232</v>
      </c>
      <c r="B1" s="10"/>
      <c r="C1" s="11" t="s">
        <v>233</v>
      </c>
      <c r="D1" s="10"/>
      <c r="E1" s="10"/>
      <c r="F1" s="10"/>
      <c r="G1" s="10"/>
      <c r="H1" s="10"/>
      <c r="I1" s="10"/>
      <c r="J1" s="10"/>
      <c r="K1" s="10"/>
      <c r="L1" s="10"/>
      <c r="M1" s="10"/>
      <c r="N1" s="10"/>
      <c r="O1" s="10"/>
      <c r="P1" s="10"/>
      <c r="Q1" s="10"/>
      <c r="R1" s="10"/>
      <c r="S1" s="10"/>
      <c r="T1" s="10"/>
      <c r="U1" s="3"/>
      <c r="V1" s="3"/>
      <c r="W1" s="3"/>
      <c r="X1" s="3"/>
      <c r="Y1" s="3"/>
      <c r="Z1" s="3"/>
      <c r="AA1" s="3"/>
      <c r="AB1" s="3"/>
      <c r="AC1" s="3"/>
      <c r="AD1" s="3"/>
      <c r="AE1" s="3"/>
      <c r="AF1" s="3"/>
      <c r="AG1" s="3"/>
      <c r="AH1" s="3"/>
      <c r="AI1" s="3"/>
      <c r="AJ1" s="3"/>
      <c r="AK1" s="3"/>
      <c r="AL1" s="3"/>
    </row>
    <row r="2" spans="1:38" ht="31.5" customHeight="1" x14ac:dyDescent="0.2">
      <c r="A2" s="10" t="s">
        <v>234</v>
      </c>
      <c r="B2" s="10"/>
      <c r="C2" s="11" t="s">
        <v>235</v>
      </c>
      <c r="D2" s="10"/>
      <c r="E2" s="10"/>
      <c r="F2" s="10"/>
      <c r="G2" s="10"/>
      <c r="H2" s="10"/>
      <c r="I2" s="10"/>
      <c r="J2" s="10"/>
      <c r="K2" s="10"/>
      <c r="L2" s="10"/>
      <c r="M2" s="10"/>
      <c r="N2" s="10"/>
      <c r="O2" s="10"/>
      <c r="P2" s="10"/>
      <c r="Q2" s="10"/>
      <c r="R2" s="10"/>
      <c r="S2" s="10"/>
      <c r="T2" s="10"/>
      <c r="U2" s="3"/>
      <c r="V2" s="3"/>
      <c r="W2" s="3"/>
      <c r="X2" s="3"/>
      <c r="Y2" s="3"/>
      <c r="Z2" s="3"/>
      <c r="AA2" s="3"/>
      <c r="AB2" s="3"/>
      <c r="AC2" s="3"/>
      <c r="AD2" s="3"/>
      <c r="AE2" s="3"/>
      <c r="AF2" s="3"/>
      <c r="AG2" s="3"/>
      <c r="AH2" s="3"/>
      <c r="AI2" s="3"/>
      <c r="AJ2" s="3"/>
      <c r="AK2" s="3"/>
      <c r="AL2" s="3"/>
    </row>
    <row r="3" spans="1:38" ht="31.5" customHeight="1" x14ac:dyDescent="0.25">
      <c r="A3" s="12"/>
      <c r="B3" s="3"/>
      <c r="C3" s="13"/>
      <c r="D3" s="14"/>
      <c r="E3" s="14"/>
      <c r="F3" s="14"/>
      <c r="G3" s="14"/>
      <c r="H3" s="14"/>
      <c r="I3" s="14"/>
      <c r="J3" s="14"/>
      <c r="K3" s="14"/>
      <c r="L3" s="14"/>
      <c r="M3" s="14"/>
      <c r="N3" s="14"/>
      <c r="O3" s="3"/>
      <c r="P3" s="3"/>
      <c r="Q3" s="3"/>
      <c r="R3" s="3"/>
      <c r="S3" s="3"/>
      <c r="T3" s="3"/>
      <c r="U3" s="3"/>
      <c r="V3" s="3"/>
      <c r="W3" s="3"/>
      <c r="X3" s="3"/>
      <c r="Y3" s="3"/>
      <c r="Z3" s="3"/>
      <c r="AA3" s="3"/>
      <c r="AB3" s="3"/>
      <c r="AC3" s="3"/>
      <c r="AD3" s="3"/>
      <c r="AE3" s="3"/>
      <c r="AF3" s="3"/>
      <c r="AG3" s="3"/>
      <c r="AH3" s="3"/>
      <c r="AI3" s="3"/>
      <c r="AJ3" s="3"/>
      <c r="AK3" s="3"/>
      <c r="AL3" s="3"/>
    </row>
    <row r="4" spans="1:38" ht="19" x14ac:dyDescent="0.25">
      <c r="A4" s="15" t="s">
        <v>61</v>
      </c>
      <c r="B4" s="3"/>
      <c r="C4" s="13"/>
      <c r="D4" s="14"/>
      <c r="E4" s="14"/>
      <c r="F4" s="14"/>
      <c r="G4" s="14"/>
      <c r="H4" s="14"/>
      <c r="I4" s="14"/>
      <c r="J4" s="14"/>
      <c r="K4" s="14"/>
      <c r="L4" s="14"/>
      <c r="M4" s="14"/>
      <c r="N4" s="14"/>
      <c r="O4" s="3"/>
      <c r="P4" s="3"/>
      <c r="Q4" s="3"/>
      <c r="R4" s="3"/>
      <c r="S4" s="3"/>
      <c r="T4" s="3"/>
      <c r="U4" s="3"/>
      <c r="V4" s="3"/>
      <c r="W4" s="3"/>
      <c r="X4" s="3"/>
      <c r="Y4" s="3"/>
      <c r="Z4" s="3"/>
      <c r="AA4" s="3"/>
      <c r="AB4" s="3"/>
      <c r="AC4" s="3"/>
      <c r="AD4" s="3"/>
      <c r="AE4" s="3"/>
      <c r="AF4" s="3"/>
      <c r="AG4" s="3"/>
      <c r="AH4" s="3"/>
      <c r="AI4" s="3"/>
      <c r="AJ4" s="3"/>
      <c r="AK4" s="3"/>
      <c r="AL4" s="3"/>
    </row>
    <row r="5" spans="1:38" ht="16" x14ac:dyDescent="0.2">
      <c r="A5" s="16" t="str">
        <f>A1</f>
        <v>Indicator 15a</v>
      </c>
      <c r="B5" s="3"/>
      <c r="C5" s="17" t="s">
        <v>62</v>
      </c>
      <c r="D5" s="17" t="s">
        <v>63</v>
      </c>
      <c r="E5" s="17" t="s">
        <v>64</v>
      </c>
      <c r="F5" s="17" t="s">
        <v>65</v>
      </c>
      <c r="G5" s="17" t="s">
        <v>62</v>
      </c>
      <c r="H5" s="17" t="s">
        <v>63</v>
      </c>
      <c r="I5" s="17" t="s">
        <v>64</v>
      </c>
      <c r="J5" s="17" t="s">
        <v>65</v>
      </c>
      <c r="K5" s="17" t="s">
        <v>62</v>
      </c>
      <c r="L5" s="17" t="s">
        <v>63</v>
      </c>
      <c r="M5" s="17" t="s">
        <v>64</v>
      </c>
      <c r="N5" s="17" t="s">
        <v>65</v>
      </c>
      <c r="O5" s="17" t="s">
        <v>62</v>
      </c>
      <c r="P5" s="17" t="s">
        <v>63</v>
      </c>
      <c r="Q5" s="17" t="s">
        <v>64</v>
      </c>
      <c r="R5" s="17" t="s">
        <v>65</v>
      </c>
      <c r="S5" s="17" t="s">
        <v>62</v>
      </c>
      <c r="T5" s="17" t="s">
        <v>63</v>
      </c>
      <c r="U5" s="17" t="s">
        <v>64</v>
      </c>
      <c r="V5" s="17" t="s">
        <v>65</v>
      </c>
      <c r="W5" s="17" t="s">
        <v>62</v>
      </c>
      <c r="X5" s="17" t="s">
        <v>63</v>
      </c>
      <c r="Y5" s="17" t="s">
        <v>64</v>
      </c>
      <c r="Z5" s="17" t="s">
        <v>65</v>
      </c>
      <c r="AA5" s="17" t="s">
        <v>62</v>
      </c>
      <c r="AB5" s="58" t="s">
        <v>63</v>
      </c>
      <c r="AC5" s="58" t="s">
        <v>64</v>
      </c>
      <c r="AD5" s="58" t="s">
        <v>65</v>
      </c>
      <c r="AE5" s="58" t="s">
        <v>62</v>
      </c>
      <c r="AF5" s="58" t="s">
        <v>63</v>
      </c>
      <c r="AG5" s="58" t="s">
        <v>64</v>
      </c>
      <c r="AH5" s="58" t="s">
        <v>65</v>
      </c>
      <c r="AI5" s="58" t="s">
        <v>62</v>
      </c>
      <c r="AJ5" s="58" t="s">
        <v>63</v>
      </c>
      <c r="AK5" s="58" t="s">
        <v>64</v>
      </c>
      <c r="AL5" s="58" t="s">
        <v>65</v>
      </c>
    </row>
    <row r="6" spans="1:38" ht="26" x14ac:dyDescent="0.2">
      <c r="A6" s="16"/>
      <c r="B6" s="3"/>
      <c r="C6" s="17" t="s">
        <v>385</v>
      </c>
      <c r="D6" s="17" t="s">
        <v>386</v>
      </c>
      <c r="E6" s="17" t="s">
        <v>387</v>
      </c>
      <c r="F6" s="17" t="s">
        <v>388</v>
      </c>
      <c r="G6" s="17" t="s">
        <v>66</v>
      </c>
      <c r="H6" s="17" t="s">
        <v>67</v>
      </c>
      <c r="I6" s="17" t="s">
        <v>68</v>
      </c>
      <c r="J6" s="17" t="s">
        <v>69</v>
      </c>
      <c r="K6" s="17" t="s">
        <v>70</v>
      </c>
      <c r="L6" s="17" t="s">
        <v>71</v>
      </c>
      <c r="M6" s="17" t="s">
        <v>72</v>
      </c>
      <c r="N6" s="17" t="s">
        <v>73</v>
      </c>
      <c r="O6" s="17" t="s">
        <v>74</v>
      </c>
      <c r="P6" s="17" t="s">
        <v>75</v>
      </c>
      <c r="Q6" s="17" t="s">
        <v>76</v>
      </c>
      <c r="R6" s="17" t="s">
        <v>77</v>
      </c>
      <c r="S6" s="58" t="s">
        <v>321</v>
      </c>
      <c r="T6" s="17" t="s">
        <v>322</v>
      </c>
      <c r="U6" s="17" t="s">
        <v>323</v>
      </c>
      <c r="V6" s="17" t="s">
        <v>324</v>
      </c>
      <c r="W6" s="58" t="s">
        <v>325</v>
      </c>
      <c r="X6" s="17" t="s">
        <v>326</v>
      </c>
      <c r="Y6" s="17" t="s">
        <v>327</v>
      </c>
      <c r="Z6" s="17" t="s">
        <v>328</v>
      </c>
      <c r="AA6" s="17" t="s">
        <v>329</v>
      </c>
      <c r="AB6" s="17" t="s">
        <v>330</v>
      </c>
      <c r="AC6" s="17" t="s">
        <v>331</v>
      </c>
      <c r="AD6" s="17" t="s">
        <v>332</v>
      </c>
      <c r="AE6" s="17" t="s">
        <v>333</v>
      </c>
      <c r="AF6" s="17" t="s">
        <v>334</v>
      </c>
      <c r="AG6" s="17" t="s">
        <v>335</v>
      </c>
      <c r="AH6" s="17" t="s">
        <v>336</v>
      </c>
      <c r="AI6" s="17" t="s">
        <v>337</v>
      </c>
      <c r="AJ6" s="17" t="s">
        <v>338</v>
      </c>
      <c r="AK6" s="17" t="s">
        <v>339</v>
      </c>
      <c r="AL6" s="17" t="s">
        <v>340</v>
      </c>
    </row>
    <row r="7" spans="1:38" ht="16" x14ac:dyDescent="0.2">
      <c r="A7" s="18" t="s">
        <v>236</v>
      </c>
      <c r="B7" s="3"/>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row>
    <row r="8" spans="1:38" ht="16" x14ac:dyDescent="0.2">
      <c r="A8" s="18" t="s">
        <v>237</v>
      </c>
      <c r="B8" s="3"/>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row>
    <row r="9" spans="1:38" ht="16" x14ac:dyDescent="0.2">
      <c r="A9" s="18" t="s">
        <v>238</v>
      </c>
      <c r="B9" s="3"/>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row>
    <row r="10" spans="1:38" ht="16" x14ac:dyDescent="0.2">
      <c r="A10" s="18" t="s">
        <v>239</v>
      </c>
      <c r="B10" s="3"/>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row>
    <row r="11" spans="1:38" ht="16" x14ac:dyDescent="0.2">
      <c r="A11" s="18" t="s">
        <v>240</v>
      </c>
      <c r="B11" s="3"/>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row>
    <row r="12" spans="1:38" ht="16" x14ac:dyDescent="0.2">
      <c r="A12" s="18" t="s">
        <v>241</v>
      </c>
      <c r="B12" s="3"/>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row>
    <row r="13" spans="1:38" ht="16" x14ac:dyDescent="0.2">
      <c r="A13" s="18" t="s">
        <v>369</v>
      </c>
      <c r="B13" s="3"/>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row>
    <row r="14" spans="1:38" ht="16" x14ac:dyDescent="0.2">
      <c r="A14" s="18" t="s">
        <v>440</v>
      </c>
      <c r="B14" s="3"/>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row>
    <row r="15" spans="1:38" ht="16" x14ac:dyDescent="0.2">
      <c r="A15" s="18" t="s">
        <v>243</v>
      </c>
      <c r="B15" s="3"/>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row>
    <row r="16" spans="1:38" ht="16" x14ac:dyDescent="0.2">
      <c r="A16" s="18" t="s">
        <v>244</v>
      </c>
      <c r="B16" s="3"/>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row>
    <row r="17" spans="1:38" ht="16" x14ac:dyDescent="0.2">
      <c r="A17" s="61" t="s">
        <v>437</v>
      </c>
      <c r="B17" s="3"/>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row>
    <row r="18" spans="1:38" ht="16" x14ac:dyDescent="0.2">
      <c r="A18" s="18" t="s">
        <v>110</v>
      </c>
      <c r="B18" s="3"/>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row>
    <row r="19" spans="1:38" ht="17.25" customHeight="1" thickBot="1" x14ac:dyDescent="0.25">
      <c r="A19" s="22" t="s">
        <v>111</v>
      </c>
      <c r="B19" s="3"/>
      <c r="C19" s="54">
        <f t="shared" ref="C19:R19" si="0">SUM(C7:C18)</f>
        <v>0</v>
      </c>
      <c r="D19" s="54">
        <f t="shared" si="0"/>
        <v>0</v>
      </c>
      <c r="E19" s="54">
        <f t="shared" si="0"/>
        <v>0</v>
      </c>
      <c r="F19" s="54">
        <f t="shared" si="0"/>
        <v>0</v>
      </c>
      <c r="G19" s="54">
        <f t="shared" si="0"/>
        <v>0</v>
      </c>
      <c r="H19" s="54">
        <f t="shared" si="0"/>
        <v>0</v>
      </c>
      <c r="I19" s="54">
        <f t="shared" si="0"/>
        <v>0</v>
      </c>
      <c r="J19" s="54">
        <f t="shared" si="0"/>
        <v>0</v>
      </c>
      <c r="K19" s="54">
        <f t="shared" si="0"/>
        <v>0</v>
      </c>
      <c r="L19" s="54">
        <f t="shared" si="0"/>
        <v>0</v>
      </c>
      <c r="M19" s="54">
        <f t="shared" si="0"/>
        <v>0</v>
      </c>
      <c r="N19" s="54">
        <f t="shared" si="0"/>
        <v>0</v>
      </c>
      <c r="O19" s="54">
        <f t="shared" si="0"/>
        <v>0</v>
      </c>
      <c r="P19" s="54">
        <f t="shared" si="0"/>
        <v>0</v>
      </c>
      <c r="Q19" s="54">
        <f t="shared" si="0"/>
        <v>0</v>
      </c>
      <c r="R19" s="54">
        <f t="shared" si="0"/>
        <v>0</v>
      </c>
      <c r="S19" s="54">
        <f t="shared" ref="S19:AH19" si="1">SUM(S7:S18)</f>
        <v>0</v>
      </c>
      <c r="T19" s="54">
        <f t="shared" si="1"/>
        <v>0</v>
      </c>
      <c r="U19" s="54">
        <f t="shared" si="1"/>
        <v>0</v>
      </c>
      <c r="V19" s="54">
        <f t="shared" si="1"/>
        <v>0</v>
      </c>
      <c r="W19" s="54">
        <f t="shared" si="1"/>
        <v>0</v>
      </c>
      <c r="X19" s="54">
        <f t="shared" si="1"/>
        <v>0</v>
      </c>
      <c r="Y19" s="54">
        <f t="shared" si="1"/>
        <v>0</v>
      </c>
      <c r="Z19" s="54">
        <f t="shared" si="1"/>
        <v>0</v>
      </c>
      <c r="AA19" s="54">
        <f t="shared" si="1"/>
        <v>0</v>
      </c>
      <c r="AB19" s="43">
        <f t="shared" si="1"/>
        <v>0</v>
      </c>
      <c r="AC19" s="43">
        <f t="shared" si="1"/>
        <v>0</v>
      </c>
      <c r="AD19" s="43">
        <f t="shared" si="1"/>
        <v>0</v>
      </c>
      <c r="AE19" s="43">
        <f t="shared" si="1"/>
        <v>0</v>
      </c>
      <c r="AF19" s="43">
        <f t="shared" si="1"/>
        <v>0</v>
      </c>
      <c r="AG19" s="43">
        <f t="shared" si="1"/>
        <v>0</v>
      </c>
      <c r="AH19" s="43">
        <f t="shared" si="1"/>
        <v>0</v>
      </c>
      <c r="AI19" s="43">
        <f t="shared" ref="AI19:AL19" si="2">SUM(AI7:AI18)</f>
        <v>0</v>
      </c>
      <c r="AJ19" s="43">
        <f t="shared" si="2"/>
        <v>0</v>
      </c>
      <c r="AK19" s="43">
        <f t="shared" si="2"/>
        <v>0</v>
      </c>
      <c r="AL19" s="43">
        <f t="shared" si="2"/>
        <v>0</v>
      </c>
    </row>
    <row r="20" spans="1:38" ht="17.25" customHeight="1" thickTop="1" x14ac:dyDescent="0.2">
      <c r="A20" s="24"/>
      <c r="B20" s="3"/>
      <c r="C20" s="25"/>
      <c r="D20" s="25"/>
      <c r="E20" s="25"/>
      <c r="F20" s="25"/>
      <c r="G20" s="25"/>
      <c r="H20" s="25"/>
      <c r="I20" s="25"/>
      <c r="J20" s="25"/>
      <c r="K20" s="25"/>
      <c r="L20" s="25"/>
      <c r="M20" s="25"/>
      <c r="N20" s="25"/>
      <c r="O20" s="3"/>
      <c r="P20" s="3"/>
      <c r="Q20" s="3"/>
      <c r="R20" s="3"/>
      <c r="S20" s="3"/>
      <c r="T20" s="3"/>
      <c r="U20" s="3"/>
      <c r="V20" s="3"/>
      <c r="W20" s="3"/>
      <c r="X20" s="3"/>
      <c r="Y20" s="3"/>
      <c r="Z20" s="3"/>
      <c r="AA20" s="3"/>
      <c r="AB20" s="3"/>
      <c r="AC20" s="3"/>
      <c r="AD20" s="3"/>
      <c r="AE20" s="3"/>
      <c r="AF20" s="3"/>
      <c r="AG20" s="3"/>
      <c r="AH20" s="3"/>
      <c r="AI20" s="3"/>
      <c r="AJ20" s="3"/>
      <c r="AK20" s="3"/>
      <c r="AL20" s="3"/>
    </row>
    <row r="21" spans="1:38" ht="17.25" customHeight="1" x14ac:dyDescent="0.2">
      <c r="A21" s="16" t="str">
        <f>A2</f>
        <v>Indicator 15b</v>
      </c>
      <c r="B21" s="3"/>
      <c r="C21" s="17" t="s">
        <v>62</v>
      </c>
      <c r="D21" s="17" t="s">
        <v>63</v>
      </c>
      <c r="E21" s="17" t="s">
        <v>64</v>
      </c>
      <c r="F21" s="17" t="s">
        <v>65</v>
      </c>
      <c r="G21" s="17" t="s">
        <v>62</v>
      </c>
      <c r="H21" s="17" t="s">
        <v>63</v>
      </c>
      <c r="I21" s="17" t="s">
        <v>64</v>
      </c>
      <c r="J21" s="17" t="s">
        <v>65</v>
      </c>
      <c r="K21" s="17" t="s">
        <v>62</v>
      </c>
      <c r="L21" s="17" t="s">
        <v>63</v>
      </c>
      <c r="M21" s="17" t="s">
        <v>64</v>
      </c>
      <c r="N21" s="17" t="s">
        <v>65</v>
      </c>
      <c r="O21" s="17" t="s">
        <v>62</v>
      </c>
      <c r="P21" s="17" t="s">
        <v>63</v>
      </c>
      <c r="Q21" s="17" t="s">
        <v>64</v>
      </c>
      <c r="R21" s="17" t="s">
        <v>65</v>
      </c>
      <c r="S21" s="17" t="s">
        <v>62</v>
      </c>
      <c r="T21" s="17" t="s">
        <v>63</v>
      </c>
      <c r="U21" s="17" t="s">
        <v>64</v>
      </c>
      <c r="V21" s="17" t="s">
        <v>65</v>
      </c>
      <c r="W21" s="17" t="s">
        <v>62</v>
      </c>
      <c r="X21" s="17" t="s">
        <v>63</v>
      </c>
      <c r="Y21" s="17" t="s">
        <v>64</v>
      </c>
      <c r="Z21" s="17" t="s">
        <v>65</v>
      </c>
      <c r="AA21" s="17" t="s">
        <v>62</v>
      </c>
      <c r="AB21" s="58" t="s">
        <v>63</v>
      </c>
      <c r="AC21" s="58" t="s">
        <v>64</v>
      </c>
      <c r="AD21" s="58" t="s">
        <v>65</v>
      </c>
      <c r="AE21" s="58" t="s">
        <v>62</v>
      </c>
      <c r="AF21" s="58" t="s">
        <v>63</v>
      </c>
      <c r="AG21" s="58" t="s">
        <v>64</v>
      </c>
      <c r="AH21" s="58" t="s">
        <v>65</v>
      </c>
      <c r="AI21" s="58" t="s">
        <v>62</v>
      </c>
      <c r="AJ21" s="58" t="s">
        <v>63</v>
      </c>
      <c r="AK21" s="58" t="s">
        <v>64</v>
      </c>
      <c r="AL21" s="58" t="s">
        <v>65</v>
      </c>
    </row>
    <row r="22" spans="1:38" ht="17.25" customHeight="1" x14ac:dyDescent="0.2">
      <c r="A22" s="16"/>
      <c r="B22" s="3"/>
      <c r="C22" s="17" t="s">
        <v>385</v>
      </c>
      <c r="D22" s="17" t="s">
        <v>386</v>
      </c>
      <c r="E22" s="17" t="s">
        <v>387</v>
      </c>
      <c r="F22" s="17" t="s">
        <v>388</v>
      </c>
      <c r="G22" s="17" t="s">
        <v>66</v>
      </c>
      <c r="H22" s="17" t="s">
        <v>67</v>
      </c>
      <c r="I22" s="17" t="s">
        <v>68</v>
      </c>
      <c r="J22" s="17" t="s">
        <v>69</v>
      </c>
      <c r="K22" s="17" t="s">
        <v>70</v>
      </c>
      <c r="L22" s="17" t="s">
        <v>71</v>
      </c>
      <c r="M22" s="17" t="s">
        <v>72</v>
      </c>
      <c r="N22" s="17" t="s">
        <v>73</v>
      </c>
      <c r="O22" s="17" t="s">
        <v>74</v>
      </c>
      <c r="P22" s="17" t="s">
        <v>75</v>
      </c>
      <c r="Q22" s="17" t="s">
        <v>76</v>
      </c>
      <c r="R22" s="17" t="s">
        <v>77</v>
      </c>
      <c r="S22" s="58" t="s">
        <v>321</v>
      </c>
      <c r="T22" s="17" t="s">
        <v>322</v>
      </c>
      <c r="U22" s="17" t="s">
        <v>323</v>
      </c>
      <c r="V22" s="17" t="s">
        <v>324</v>
      </c>
      <c r="W22" s="58" t="s">
        <v>325</v>
      </c>
      <c r="X22" s="17" t="s">
        <v>326</v>
      </c>
      <c r="Y22" s="17" t="s">
        <v>327</v>
      </c>
      <c r="Z22" s="17" t="s">
        <v>328</v>
      </c>
      <c r="AA22" s="17" t="s">
        <v>329</v>
      </c>
      <c r="AB22" s="17" t="s">
        <v>330</v>
      </c>
      <c r="AC22" s="17" t="s">
        <v>331</v>
      </c>
      <c r="AD22" s="17" t="s">
        <v>332</v>
      </c>
      <c r="AE22" s="17" t="s">
        <v>333</v>
      </c>
      <c r="AF22" s="17" t="s">
        <v>334</v>
      </c>
      <c r="AG22" s="17" t="s">
        <v>335</v>
      </c>
      <c r="AH22" s="17" t="s">
        <v>336</v>
      </c>
      <c r="AI22" s="17" t="s">
        <v>337</v>
      </c>
      <c r="AJ22" s="17" t="s">
        <v>338</v>
      </c>
      <c r="AK22" s="17" t="s">
        <v>339</v>
      </c>
      <c r="AL22" s="17" t="s">
        <v>340</v>
      </c>
    </row>
    <row r="23" spans="1:38" ht="17.25" customHeight="1" x14ac:dyDescent="0.2">
      <c r="A23" s="18" t="s">
        <v>236</v>
      </c>
      <c r="B23" s="3"/>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row>
    <row r="24" spans="1:38" ht="17.25" customHeight="1" x14ac:dyDescent="0.2">
      <c r="A24" s="18" t="s">
        <v>237</v>
      </c>
      <c r="B24" s="3"/>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row>
    <row r="25" spans="1:38" ht="17.25" customHeight="1" x14ac:dyDescent="0.2">
      <c r="A25" s="18" t="s">
        <v>238</v>
      </c>
      <c r="B25" s="3"/>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row>
    <row r="26" spans="1:38" ht="17.25" customHeight="1" x14ac:dyDescent="0.2">
      <c r="A26" s="18" t="s">
        <v>239</v>
      </c>
      <c r="B26" s="3"/>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row>
    <row r="27" spans="1:38" ht="17.25" customHeight="1" x14ac:dyDescent="0.2">
      <c r="A27" s="18" t="s">
        <v>240</v>
      </c>
      <c r="B27" s="3"/>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row>
    <row r="28" spans="1:38" ht="17.25" customHeight="1" x14ac:dyDescent="0.2">
      <c r="A28" s="18" t="s">
        <v>241</v>
      </c>
      <c r="B28" s="3"/>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row>
    <row r="29" spans="1:38" ht="17.25" customHeight="1" x14ac:dyDescent="0.2">
      <c r="A29" s="18" t="s">
        <v>369</v>
      </c>
      <c r="B29" s="3"/>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row>
    <row r="30" spans="1:38" ht="17.25" customHeight="1" x14ac:dyDescent="0.2">
      <c r="A30" s="18" t="s">
        <v>440</v>
      </c>
      <c r="B30" s="3"/>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row>
    <row r="31" spans="1:38" ht="17.25" customHeight="1" x14ac:dyDescent="0.2">
      <c r="A31" s="18" t="s">
        <v>243</v>
      </c>
      <c r="B31" s="3"/>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row>
    <row r="32" spans="1:38" ht="17.25" customHeight="1" x14ac:dyDescent="0.2">
      <c r="A32" s="18" t="s">
        <v>244</v>
      </c>
      <c r="B32" s="3"/>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row>
    <row r="33" spans="1:38" ht="17.25" customHeight="1" x14ac:dyDescent="0.2">
      <c r="A33" s="61" t="s">
        <v>437</v>
      </c>
      <c r="B33" s="3"/>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row>
    <row r="34" spans="1:38" ht="17.25" customHeight="1" x14ac:dyDescent="0.2">
      <c r="A34" s="18" t="s">
        <v>110</v>
      </c>
      <c r="B34" s="3"/>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row>
    <row r="35" spans="1:38" ht="17.25" customHeight="1" thickBot="1" x14ac:dyDescent="0.25">
      <c r="A35" s="22" t="s">
        <v>111</v>
      </c>
      <c r="B35" s="3"/>
      <c r="C35" s="40">
        <f t="shared" ref="C35:R35" si="3">SUM(C23:C34)</f>
        <v>0</v>
      </c>
      <c r="D35" s="40">
        <f t="shared" si="3"/>
        <v>0</v>
      </c>
      <c r="E35" s="40">
        <f t="shared" si="3"/>
        <v>0</v>
      </c>
      <c r="F35" s="40">
        <f t="shared" si="3"/>
        <v>0</v>
      </c>
      <c r="G35" s="40">
        <f t="shared" si="3"/>
        <v>0</v>
      </c>
      <c r="H35" s="40">
        <f t="shared" si="3"/>
        <v>0</v>
      </c>
      <c r="I35" s="40">
        <f t="shared" si="3"/>
        <v>0</v>
      </c>
      <c r="J35" s="40">
        <f t="shared" si="3"/>
        <v>0</v>
      </c>
      <c r="K35" s="40">
        <f t="shared" si="3"/>
        <v>0</v>
      </c>
      <c r="L35" s="40">
        <f t="shared" si="3"/>
        <v>0</v>
      </c>
      <c r="M35" s="40">
        <f t="shared" si="3"/>
        <v>0</v>
      </c>
      <c r="N35" s="40">
        <f t="shared" si="3"/>
        <v>0</v>
      </c>
      <c r="O35" s="40">
        <f t="shared" si="3"/>
        <v>0</v>
      </c>
      <c r="P35" s="40">
        <f t="shared" si="3"/>
        <v>0</v>
      </c>
      <c r="Q35" s="40">
        <f t="shared" si="3"/>
        <v>0</v>
      </c>
      <c r="R35" s="40">
        <f t="shared" si="3"/>
        <v>0</v>
      </c>
      <c r="S35" s="40">
        <f t="shared" ref="S35:AH35" si="4">SUM(S23:S34)</f>
        <v>0</v>
      </c>
      <c r="T35" s="40">
        <f t="shared" si="4"/>
        <v>0</v>
      </c>
      <c r="U35" s="40">
        <f t="shared" si="4"/>
        <v>0</v>
      </c>
      <c r="V35" s="40">
        <f t="shared" si="4"/>
        <v>0</v>
      </c>
      <c r="W35" s="40">
        <f t="shared" si="4"/>
        <v>0</v>
      </c>
      <c r="X35" s="40">
        <f t="shared" si="4"/>
        <v>0</v>
      </c>
      <c r="Y35" s="40">
        <f t="shared" si="4"/>
        <v>0</v>
      </c>
      <c r="Z35" s="40">
        <f t="shared" si="4"/>
        <v>0</v>
      </c>
      <c r="AA35" s="40">
        <f t="shared" si="4"/>
        <v>0</v>
      </c>
      <c r="AB35" s="59">
        <f t="shared" si="4"/>
        <v>0</v>
      </c>
      <c r="AC35" s="59">
        <f t="shared" si="4"/>
        <v>0</v>
      </c>
      <c r="AD35" s="59">
        <f t="shared" si="4"/>
        <v>0</v>
      </c>
      <c r="AE35" s="59">
        <f t="shared" si="4"/>
        <v>0</v>
      </c>
      <c r="AF35" s="59">
        <f t="shared" si="4"/>
        <v>0</v>
      </c>
      <c r="AG35" s="59">
        <f t="shared" si="4"/>
        <v>0</v>
      </c>
      <c r="AH35" s="59">
        <f t="shared" si="4"/>
        <v>0</v>
      </c>
      <c r="AI35" s="59">
        <f t="shared" ref="AI35:AL35" si="5">SUM(AI23:AI34)</f>
        <v>0</v>
      </c>
      <c r="AJ35" s="59">
        <f t="shared" si="5"/>
        <v>0</v>
      </c>
      <c r="AK35" s="59">
        <f t="shared" si="5"/>
        <v>0</v>
      </c>
      <c r="AL35" s="59">
        <f t="shared" si="5"/>
        <v>0</v>
      </c>
    </row>
    <row r="36" spans="1:38" ht="17.25" customHeight="1" thickTop="1" x14ac:dyDescent="0.2">
      <c r="A36" s="24"/>
      <c r="B36" s="3"/>
      <c r="C36" s="25"/>
      <c r="D36" s="25"/>
      <c r="E36" s="25"/>
      <c r="F36" s="25"/>
      <c r="G36" s="25"/>
      <c r="H36" s="25"/>
      <c r="I36" s="25"/>
      <c r="J36" s="25"/>
      <c r="K36" s="25"/>
      <c r="L36" s="25"/>
      <c r="M36" s="25"/>
      <c r="N36" s="25"/>
      <c r="O36" s="3"/>
      <c r="P36" s="3"/>
      <c r="Q36" s="3"/>
      <c r="R36" s="3"/>
      <c r="S36" s="3"/>
      <c r="T36" s="3"/>
      <c r="U36" s="3"/>
      <c r="V36" s="3"/>
      <c r="W36" s="3"/>
      <c r="X36" s="3"/>
      <c r="Y36" s="3"/>
      <c r="Z36" s="3"/>
      <c r="AA36" s="3"/>
      <c r="AB36" s="3"/>
      <c r="AC36" s="3"/>
      <c r="AD36" s="3"/>
      <c r="AE36" s="3"/>
      <c r="AF36" s="3"/>
      <c r="AG36" s="3"/>
      <c r="AH36" s="3"/>
      <c r="AI36" s="3"/>
      <c r="AJ36" s="3"/>
      <c r="AK36" s="3"/>
      <c r="AL36" s="3"/>
    </row>
    <row r="37" spans="1:38" ht="15" customHeight="1" x14ac:dyDescent="0.2">
      <c r="A37" s="15" t="s">
        <v>112</v>
      </c>
      <c r="B37" s="3"/>
      <c r="C37" s="26" t="s">
        <v>245</v>
      </c>
      <c r="D37" s="26"/>
      <c r="E37" s="26"/>
      <c r="F37" s="26"/>
      <c r="G37" s="26"/>
      <c r="H37" s="26"/>
      <c r="I37" s="26"/>
      <c r="J37" s="26"/>
      <c r="K37" s="26"/>
      <c r="L37" s="26"/>
      <c r="M37" s="26"/>
      <c r="N37" s="26"/>
      <c r="O37" s="26"/>
      <c r="P37" s="26"/>
      <c r="Q37" s="26"/>
      <c r="R37" s="26"/>
      <c r="S37" s="3"/>
      <c r="T37" s="3"/>
      <c r="U37" s="3"/>
      <c r="V37" s="3"/>
      <c r="W37" s="3"/>
      <c r="X37" s="3"/>
      <c r="Y37" s="3"/>
      <c r="Z37" s="3"/>
      <c r="AA37" s="3"/>
      <c r="AB37" s="3"/>
      <c r="AC37" s="3"/>
      <c r="AD37" s="3"/>
      <c r="AE37" s="3"/>
      <c r="AF37" s="3"/>
      <c r="AG37" s="3"/>
      <c r="AH37" s="3"/>
      <c r="AI37" s="3"/>
      <c r="AJ37" s="3"/>
      <c r="AK37" s="3"/>
      <c r="AL37" s="3"/>
    </row>
    <row r="38" spans="1:38" ht="15" customHeight="1" x14ac:dyDescent="0.2">
      <c r="A38" s="16" t="str">
        <f>(A1)</f>
        <v>Indicator 15a</v>
      </c>
      <c r="B38" s="3"/>
      <c r="C38" s="17" t="s">
        <v>62</v>
      </c>
      <c r="D38" s="17" t="s">
        <v>63</v>
      </c>
      <c r="E38" s="17" t="s">
        <v>64</v>
      </c>
      <c r="F38" s="17" t="s">
        <v>65</v>
      </c>
      <c r="G38" s="17" t="s">
        <v>62</v>
      </c>
      <c r="H38" s="17" t="s">
        <v>63</v>
      </c>
      <c r="I38" s="17" t="s">
        <v>64</v>
      </c>
      <c r="J38" s="17" t="s">
        <v>65</v>
      </c>
      <c r="K38" s="17" t="s">
        <v>62</v>
      </c>
      <c r="L38" s="17" t="s">
        <v>63</v>
      </c>
      <c r="M38" s="17" t="s">
        <v>64</v>
      </c>
      <c r="N38" s="17" t="s">
        <v>65</v>
      </c>
      <c r="O38" s="17" t="s">
        <v>62</v>
      </c>
      <c r="P38" s="17" t="s">
        <v>63</v>
      </c>
      <c r="Q38" s="17" t="s">
        <v>64</v>
      </c>
      <c r="R38" s="17" t="s">
        <v>65</v>
      </c>
      <c r="S38" s="17" t="s">
        <v>62</v>
      </c>
      <c r="T38" s="17" t="s">
        <v>63</v>
      </c>
      <c r="U38" s="17" t="s">
        <v>64</v>
      </c>
      <c r="V38" s="17" t="s">
        <v>65</v>
      </c>
      <c r="W38" s="17" t="s">
        <v>62</v>
      </c>
      <c r="X38" s="17" t="s">
        <v>63</v>
      </c>
      <c r="Y38" s="17" t="s">
        <v>64</v>
      </c>
      <c r="Z38" s="17" t="s">
        <v>65</v>
      </c>
      <c r="AA38" s="17" t="s">
        <v>62</v>
      </c>
      <c r="AB38" s="58" t="s">
        <v>63</v>
      </c>
      <c r="AC38" s="58" t="s">
        <v>64</v>
      </c>
      <c r="AD38" s="58" t="s">
        <v>65</v>
      </c>
      <c r="AE38" s="58" t="s">
        <v>62</v>
      </c>
      <c r="AF38" s="58" t="s">
        <v>63</v>
      </c>
      <c r="AG38" s="58" t="s">
        <v>64</v>
      </c>
      <c r="AH38" s="58" t="s">
        <v>65</v>
      </c>
      <c r="AI38" s="58" t="s">
        <v>62</v>
      </c>
      <c r="AJ38" s="58" t="s">
        <v>63</v>
      </c>
      <c r="AK38" s="58" t="s">
        <v>64</v>
      </c>
      <c r="AL38" s="58" t="s">
        <v>65</v>
      </c>
    </row>
    <row r="39" spans="1:38" ht="15" customHeight="1" x14ac:dyDescent="0.2">
      <c r="A39" s="27" t="s">
        <v>114</v>
      </c>
      <c r="B39" s="3"/>
      <c r="C39" s="17" t="s">
        <v>385</v>
      </c>
      <c r="D39" s="17" t="s">
        <v>386</v>
      </c>
      <c r="E39" s="17" t="s">
        <v>387</v>
      </c>
      <c r="F39" s="17" t="s">
        <v>388</v>
      </c>
      <c r="G39" s="17" t="s">
        <v>66</v>
      </c>
      <c r="H39" s="17" t="s">
        <v>67</v>
      </c>
      <c r="I39" s="17" t="s">
        <v>68</v>
      </c>
      <c r="J39" s="17" t="s">
        <v>69</v>
      </c>
      <c r="K39" s="17" t="s">
        <v>70</v>
      </c>
      <c r="L39" s="17" t="s">
        <v>71</v>
      </c>
      <c r="M39" s="17" t="s">
        <v>72</v>
      </c>
      <c r="N39" s="17" t="s">
        <v>73</v>
      </c>
      <c r="O39" s="17" t="s">
        <v>74</v>
      </c>
      <c r="P39" s="17" t="s">
        <v>75</v>
      </c>
      <c r="Q39" s="17" t="s">
        <v>76</v>
      </c>
      <c r="R39" s="17" t="s">
        <v>77</v>
      </c>
      <c r="S39" s="58" t="s">
        <v>321</v>
      </c>
      <c r="T39" s="17" t="s">
        <v>322</v>
      </c>
      <c r="U39" s="17" t="s">
        <v>323</v>
      </c>
      <c r="V39" s="17" t="s">
        <v>324</v>
      </c>
      <c r="W39" s="58" t="s">
        <v>325</v>
      </c>
      <c r="X39" s="17" t="s">
        <v>326</v>
      </c>
      <c r="Y39" s="17" t="s">
        <v>327</v>
      </c>
      <c r="Z39" s="17" t="s">
        <v>328</v>
      </c>
      <c r="AA39" s="17" t="s">
        <v>329</v>
      </c>
      <c r="AB39" s="17" t="s">
        <v>330</v>
      </c>
      <c r="AC39" s="17" t="s">
        <v>331</v>
      </c>
      <c r="AD39" s="17" t="s">
        <v>332</v>
      </c>
      <c r="AE39" s="17" t="s">
        <v>333</v>
      </c>
      <c r="AF39" s="17" t="s">
        <v>334</v>
      </c>
      <c r="AG39" s="17" t="s">
        <v>335</v>
      </c>
      <c r="AH39" s="17" t="s">
        <v>336</v>
      </c>
      <c r="AI39" s="17" t="s">
        <v>337</v>
      </c>
      <c r="AJ39" s="17" t="s">
        <v>338</v>
      </c>
      <c r="AK39" s="17" t="s">
        <v>339</v>
      </c>
      <c r="AL39" s="17" t="s">
        <v>340</v>
      </c>
    </row>
    <row r="40" spans="1:38" ht="15" customHeight="1" x14ac:dyDescent="0.2">
      <c r="A40" s="19"/>
      <c r="B40" s="3"/>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row>
    <row r="41" spans="1:38" ht="15" customHeight="1" x14ac:dyDescent="0.2">
      <c r="A41" s="19"/>
      <c r="B41" s="3"/>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row>
    <row r="42" spans="1:38" ht="15" customHeight="1" x14ac:dyDescent="0.2">
      <c r="A42" s="19"/>
      <c r="B42" s="3"/>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row>
    <row r="43" spans="1:38" ht="15" customHeight="1" x14ac:dyDescent="0.2">
      <c r="A43" s="19"/>
      <c r="B43" s="3"/>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row>
    <row r="44" spans="1:38" ht="15" customHeight="1" x14ac:dyDescent="0.2">
      <c r="A44" s="19"/>
      <c r="B44" s="3"/>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row>
    <row r="45" spans="1:38" ht="15" customHeight="1" x14ac:dyDescent="0.2">
      <c r="A45" s="16" t="str">
        <f>A2</f>
        <v>Indicator 15b</v>
      </c>
      <c r="B45" s="3"/>
      <c r="C45" s="17" t="s">
        <v>62</v>
      </c>
      <c r="D45" s="17" t="s">
        <v>63</v>
      </c>
      <c r="E45" s="17" t="s">
        <v>64</v>
      </c>
      <c r="F45" s="17" t="s">
        <v>65</v>
      </c>
      <c r="G45" s="17" t="s">
        <v>62</v>
      </c>
      <c r="H45" s="17" t="s">
        <v>63</v>
      </c>
      <c r="I45" s="17" t="s">
        <v>64</v>
      </c>
      <c r="J45" s="17" t="s">
        <v>65</v>
      </c>
      <c r="K45" s="17" t="s">
        <v>62</v>
      </c>
      <c r="L45" s="17" t="s">
        <v>63</v>
      </c>
      <c r="M45" s="17" t="s">
        <v>64</v>
      </c>
      <c r="N45" s="17" t="s">
        <v>65</v>
      </c>
      <c r="O45" s="17" t="s">
        <v>62</v>
      </c>
      <c r="P45" s="17" t="s">
        <v>63</v>
      </c>
      <c r="Q45" s="17" t="s">
        <v>64</v>
      </c>
      <c r="R45" s="17" t="s">
        <v>65</v>
      </c>
      <c r="S45" s="17" t="s">
        <v>62</v>
      </c>
      <c r="T45" s="17" t="s">
        <v>63</v>
      </c>
      <c r="U45" s="17" t="s">
        <v>64</v>
      </c>
      <c r="V45" s="17" t="s">
        <v>65</v>
      </c>
      <c r="W45" s="17" t="s">
        <v>62</v>
      </c>
      <c r="X45" s="17" t="s">
        <v>63</v>
      </c>
      <c r="Y45" s="17" t="s">
        <v>64</v>
      </c>
      <c r="Z45" s="17" t="s">
        <v>65</v>
      </c>
      <c r="AA45" s="17" t="s">
        <v>62</v>
      </c>
      <c r="AB45" s="58" t="s">
        <v>63</v>
      </c>
      <c r="AC45" s="58" t="s">
        <v>64</v>
      </c>
      <c r="AD45" s="58" t="s">
        <v>65</v>
      </c>
      <c r="AE45" s="58" t="s">
        <v>62</v>
      </c>
      <c r="AF45" s="58" t="s">
        <v>63</v>
      </c>
      <c r="AG45" s="58" t="s">
        <v>64</v>
      </c>
      <c r="AH45" s="58" t="s">
        <v>65</v>
      </c>
      <c r="AI45" s="58" t="s">
        <v>62</v>
      </c>
      <c r="AJ45" s="58" t="s">
        <v>63</v>
      </c>
      <c r="AK45" s="58" t="s">
        <v>64</v>
      </c>
      <c r="AL45" s="58" t="s">
        <v>65</v>
      </c>
    </row>
    <row r="46" spans="1:38" ht="15" customHeight="1" x14ac:dyDescent="0.2">
      <c r="A46" s="27" t="s">
        <v>114</v>
      </c>
      <c r="B46" s="3"/>
      <c r="C46" s="17" t="s">
        <v>385</v>
      </c>
      <c r="D46" s="17" t="s">
        <v>386</v>
      </c>
      <c r="E46" s="17" t="s">
        <v>387</v>
      </c>
      <c r="F46" s="17" t="s">
        <v>388</v>
      </c>
      <c r="G46" s="17" t="s">
        <v>66</v>
      </c>
      <c r="H46" s="17" t="s">
        <v>67</v>
      </c>
      <c r="I46" s="17" t="s">
        <v>68</v>
      </c>
      <c r="J46" s="17" t="s">
        <v>69</v>
      </c>
      <c r="K46" s="17" t="s">
        <v>70</v>
      </c>
      <c r="L46" s="17" t="s">
        <v>71</v>
      </c>
      <c r="M46" s="17" t="s">
        <v>72</v>
      </c>
      <c r="N46" s="17" t="s">
        <v>73</v>
      </c>
      <c r="O46" s="17" t="s">
        <v>74</v>
      </c>
      <c r="P46" s="17" t="s">
        <v>75</v>
      </c>
      <c r="Q46" s="17" t="s">
        <v>76</v>
      </c>
      <c r="R46" s="17" t="s">
        <v>77</v>
      </c>
      <c r="S46" s="58" t="s">
        <v>321</v>
      </c>
      <c r="T46" s="17" t="s">
        <v>322</v>
      </c>
      <c r="U46" s="17" t="s">
        <v>323</v>
      </c>
      <c r="V46" s="17" t="s">
        <v>324</v>
      </c>
      <c r="W46" s="58" t="s">
        <v>325</v>
      </c>
      <c r="X46" s="17" t="s">
        <v>326</v>
      </c>
      <c r="Y46" s="17" t="s">
        <v>327</v>
      </c>
      <c r="Z46" s="17" t="s">
        <v>328</v>
      </c>
      <c r="AA46" s="17" t="s">
        <v>329</v>
      </c>
      <c r="AB46" s="17" t="s">
        <v>330</v>
      </c>
      <c r="AC46" s="17" t="s">
        <v>331</v>
      </c>
      <c r="AD46" s="17" t="s">
        <v>332</v>
      </c>
      <c r="AE46" s="17" t="s">
        <v>333</v>
      </c>
      <c r="AF46" s="17" t="s">
        <v>334</v>
      </c>
      <c r="AG46" s="17" t="s">
        <v>335</v>
      </c>
      <c r="AH46" s="17" t="s">
        <v>336</v>
      </c>
      <c r="AI46" s="17" t="s">
        <v>337</v>
      </c>
      <c r="AJ46" s="17" t="s">
        <v>338</v>
      </c>
      <c r="AK46" s="17" t="s">
        <v>339</v>
      </c>
      <c r="AL46" s="17" t="s">
        <v>340</v>
      </c>
    </row>
    <row r="47" spans="1:38" ht="15" customHeight="1" x14ac:dyDescent="0.2">
      <c r="A47" s="19"/>
      <c r="B47" s="3"/>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row>
    <row r="48" spans="1:38" ht="15" customHeight="1" x14ac:dyDescent="0.2">
      <c r="A48" s="19"/>
      <c r="B48" s="3"/>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row>
    <row r="49" spans="1:38" ht="15" customHeight="1" x14ac:dyDescent="0.2">
      <c r="A49" s="19"/>
      <c r="B49" s="3"/>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row>
    <row r="50" spans="1:38" ht="15" customHeight="1" x14ac:dyDescent="0.2">
      <c r="A50" s="19"/>
      <c r="B50" s="3"/>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row>
    <row r="51" spans="1:38" ht="15" customHeight="1" x14ac:dyDescent="0.2">
      <c r="A51" s="19"/>
      <c r="B51" s="3"/>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row>
    <row r="52" spans="1:38"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row>
    <row r="53" spans="1:38" ht="15.75" customHeight="1" x14ac:dyDescent="0.2">
      <c r="A53" s="15" t="s">
        <v>115</v>
      </c>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row>
    <row r="54" spans="1:38" ht="111.75" customHeight="1" x14ac:dyDescent="0.2">
      <c r="A54" s="4" t="s">
        <v>116</v>
      </c>
      <c r="B54" s="3"/>
      <c r="C54" s="85"/>
      <c r="D54" s="86"/>
      <c r="E54" s="86"/>
      <c r="F54" s="86"/>
      <c r="G54" s="86"/>
      <c r="H54" s="86"/>
      <c r="I54" s="86"/>
      <c r="J54" s="86"/>
      <c r="K54" s="86"/>
      <c r="L54" s="86"/>
      <c r="M54" s="86"/>
      <c r="N54" s="86"/>
      <c r="O54" s="86"/>
      <c r="P54" s="86"/>
      <c r="Q54" s="86"/>
      <c r="R54" s="86"/>
      <c r="S54" s="86"/>
      <c r="T54" s="87"/>
      <c r="U54" s="3"/>
      <c r="V54" s="3"/>
      <c r="W54" s="3"/>
      <c r="X54" s="3"/>
      <c r="Y54" s="3"/>
      <c r="Z54" s="3"/>
      <c r="AA54" s="3"/>
      <c r="AB54" s="3"/>
      <c r="AC54" s="3"/>
      <c r="AD54" s="3"/>
      <c r="AE54" s="3"/>
      <c r="AF54" s="3"/>
      <c r="AG54" s="3"/>
      <c r="AH54" s="3"/>
      <c r="AI54" s="3"/>
      <c r="AJ54" s="3"/>
      <c r="AK54" s="3"/>
      <c r="AL54" s="3"/>
    </row>
    <row r="55" spans="1:38" ht="31.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row>
    <row r="56" spans="1:38" ht="31.5" customHeight="1" x14ac:dyDescent="0.2">
      <c r="A56" s="61" t="s">
        <v>366</v>
      </c>
      <c r="B56" s="3"/>
      <c r="C56" s="3" t="b">
        <f>AND(EXACT(C19,'2-3 INQUIRIES'!C7))</f>
        <v>0</v>
      </c>
      <c r="D56" s="3" t="b">
        <f>AND(EXACT(D19,'2-3 INQUIRIES'!D7))</f>
        <v>0</v>
      </c>
      <c r="E56" s="3" t="b">
        <f>AND(EXACT(E19,'2-3 INQUIRIES'!E7))</f>
        <v>0</v>
      </c>
      <c r="F56" s="3" t="b">
        <f>AND(EXACT(F19,'2-3 INQUIRIES'!F7))</f>
        <v>0</v>
      </c>
      <c r="G56" s="3" t="b">
        <f>AND(EXACT(G19,'2-3 INQUIRIES'!G7))</f>
        <v>0</v>
      </c>
      <c r="H56" s="3" t="b">
        <f>AND(EXACT(H19,'2-3 INQUIRIES'!H7))</f>
        <v>0</v>
      </c>
      <c r="I56" s="3" t="b">
        <f>AND(EXACT(I19,'2-3 INQUIRIES'!I7))</f>
        <v>0</v>
      </c>
      <c r="J56" s="3" t="b">
        <f>AND(EXACT(J19,'2-3 INQUIRIES'!J7))</f>
        <v>0</v>
      </c>
      <c r="K56" s="3" t="b">
        <f>AND(EXACT(K19,'2-3 INQUIRIES'!K7))</f>
        <v>0</v>
      </c>
      <c r="L56" s="3" t="b">
        <f>AND(EXACT(L19,'2-3 INQUIRIES'!L7))</f>
        <v>0</v>
      </c>
      <c r="M56" s="3" t="b">
        <f>AND(EXACT(M19,'2-3 INQUIRIES'!M7))</f>
        <v>0</v>
      </c>
      <c r="N56" s="3" t="b">
        <f>AND(EXACT(N19,'2-3 INQUIRIES'!N7))</f>
        <v>0</v>
      </c>
      <c r="O56" s="3" t="b">
        <f>AND(EXACT(O19,'2-3 INQUIRIES'!O7))</f>
        <v>0</v>
      </c>
      <c r="P56" s="3" t="b">
        <f>AND(EXACT(P19,'2-3 INQUIRIES'!P7))</f>
        <v>0</v>
      </c>
      <c r="Q56" s="3" t="b">
        <f>AND(EXACT(Q19,'2-3 INQUIRIES'!Q7))</f>
        <v>0</v>
      </c>
      <c r="R56" s="3" t="b">
        <f>AND(EXACT(R19,'2-3 INQUIRIES'!R7))</f>
        <v>0</v>
      </c>
      <c r="S56" s="3" t="b">
        <f>AND(EXACT(S19,'2-3 INQUIRIES'!S7))</f>
        <v>0</v>
      </c>
      <c r="T56" s="3" t="b">
        <f>AND(EXACT(T19,'2-3 INQUIRIES'!T7))</f>
        <v>0</v>
      </c>
      <c r="U56" s="3" t="b">
        <f>AND(EXACT(U19,'2-3 INQUIRIES'!U7))</f>
        <v>0</v>
      </c>
      <c r="V56" s="3" t="b">
        <f>AND(EXACT(V19,'2-3 INQUIRIES'!V7))</f>
        <v>0</v>
      </c>
      <c r="W56" s="3" t="b">
        <f>AND(EXACT(W19,'2-3 INQUIRIES'!W7))</f>
        <v>0</v>
      </c>
      <c r="X56" s="3" t="b">
        <f>AND(EXACT(X19,'2-3 INQUIRIES'!X7))</f>
        <v>0</v>
      </c>
      <c r="Y56" s="3" t="b">
        <f>AND(EXACT(Y19,'2-3 INQUIRIES'!Y7))</f>
        <v>0</v>
      </c>
      <c r="Z56" s="3" t="b">
        <f>AND(EXACT(Z19,'2-3 INQUIRIES'!Z7))</f>
        <v>0</v>
      </c>
      <c r="AA56" s="3" t="b">
        <f>AND(EXACT(AA19,'2-3 INQUIRIES'!AA7))</f>
        <v>0</v>
      </c>
      <c r="AB56" s="3" t="b">
        <f>AND(EXACT(AB19,'2-3 INQUIRIES'!AB7))</f>
        <v>0</v>
      </c>
      <c r="AC56" s="3" t="b">
        <f>AND(EXACT(AC19,'2-3 INQUIRIES'!AC7))</f>
        <v>0</v>
      </c>
      <c r="AD56" s="3" t="b">
        <f>AND(EXACT(AD19,'2-3 INQUIRIES'!AD7))</f>
        <v>0</v>
      </c>
      <c r="AE56" s="3" t="b">
        <f>AND(EXACT(AE19,'2-3 INQUIRIES'!AE7))</f>
        <v>0</v>
      </c>
      <c r="AF56" s="3" t="b">
        <f>AND(EXACT(AF19,'2-3 INQUIRIES'!AF7))</f>
        <v>0</v>
      </c>
      <c r="AG56" s="3" t="b">
        <f>AND(EXACT(AG19,'2-3 INQUIRIES'!AG7))</f>
        <v>0</v>
      </c>
      <c r="AH56" s="3" t="b">
        <f>AND(EXACT(AH19,'2-3 INQUIRIES'!AH7))</f>
        <v>0</v>
      </c>
      <c r="AI56" s="3" t="b">
        <f>AND(EXACT(AI19,'2-3 INQUIRIES'!AI7))</f>
        <v>0</v>
      </c>
      <c r="AJ56" s="3" t="b">
        <f>AND(EXACT(AJ19,'2-3 INQUIRIES'!AJ7))</f>
        <v>0</v>
      </c>
      <c r="AK56" s="3" t="b">
        <f>AND(EXACT(AK19,'2-3 INQUIRIES'!AK7))</f>
        <v>0</v>
      </c>
      <c r="AL56" s="3" t="b">
        <f>AND(EXACT(AL19,'2-3 INQUIRIES'!AL7))</f>
        <v>0</v>
      </c>
    </row>
    <row r="57" spans="1:38" ht="31.5" customHeight="1" x14ac:dyDescent="0.2">
      <c r="A57" s="61" t="s">
        <v>367</v>
      </c>
      <c r="B57" s="3"/>
      <c r="C57" s="3" t="b">
        <f>AND(EXACT(C35,'2-3 INQUIRIES'!C11))</f>
        <v>0</v>
      </c>
      <c r="D57" s="3" t="b">
        <f>AND(EXACT(D35,'2-3 INQUIRIES'!D11))</f>
        <v>0</v>
      </c>
      <c r="E57" s="3" t="b">
        <f>AND(EXACT(E35,'2-3 INQUIRIES'!E11))</f>
        <v>0</v>
      </c>
      <c r="F57" s="3" t="b">
        <f>AND(EXACT(F35,'2-3 INQUIRIES'!F11))</f>
        <v>0</v>
      </c>
      <c r="G57" s="3" t="b">
        <f>AND(EXACT(G35,'2-3 INQUIRIES'!G11))</f>
        <v>0</v>
      </c>
      <c r="H57" s="3" t="b">
        <f>AND(EXACT(H35,'2-3 INQUIRIES'!H11))</f>
        <v>0</v>
      </c>
      <c r="I57" s="3" t="b">
        <f>AND(EXACT(I35,'2-3 INQUIRIES'!I11))</f>
        <v>0</v>
      </c>
      <c r="J57" s="3" t="b">
        <f>AND(EXACT(J35,'2-3 INQUIRIES'!J11))</f>
        <v>0</v>
      </c>
      <c r="K57" s="3" t="b">
        <f>AND(EXACT(K35,'2-3 INQUIRIES'!K11))</f>
        <v>0</v>
      </c>
      <c r="L57" s="3" t="b">
        <f>AND(EXACT(L35,'2-3 INQUIRIES'!L11))</f>
        <v>0</v>
      </c>
      <c r="M57" s="3" t="b">
        <f>AND(EXACT(M35,'2-3 INQUIRIES'!M11))</f>
        <v>0</v>
      </c>
      <c r="N57" s="3" t="b">
        <f>AND(EXACT(N35,'2-3 INQUIRIES'!N11))</f>
        <v>0</v>
      </c>
      <c r="O57" s="3" t="b">
        <f>AND(EXACT(O35,'2-3 INQUIRIES'!O11))</f>
        <v>0</v>
      </c>
      <c r="P57" s="3" t="b">
        <f>AND(EXACT(P35,'2-3 INQUIRIES'!P11))</f>
        <v>0</v>
      </c>
      <c r="Q57" s="3" t="b">
        <f>AND(EXACT(Q35,'2-3 INQUIRIES'!Q11))</f>
        <v>0</v>
      </c>
      <c r="R57" s="3" t="b">
        <f>AND(EXACT(R35,'2-3 INQUIRIES'!R11))</f>
        <v>0</v>
      </c>
      <c r="S57" s="3" t="b">
        <f>AND(EXACT(S35,'2-3 INQUIRIES'!S11))</f>
        <v>0</v>
      </c>
      <c r="T57" s="3" t="b">
        <f>AND(EXACT(T35,'2-3 INQUIRIES'!T11))</f>
        <v>0</v>
      </c>
      <c r="U57" s="3" t="b">
        <f>AND(EXACT(U35,'2-3 INQUIRIES'!U11))</f>
        <v>0</v>
      </c>
      <c r="V57" s="3" t="b">
        <f>AND(EXACT(V35,'2-3 INQUIRIES'!V11))</f>
        <v>0</v>
      </c>
      <c r="W57" s="3" t="b">
        <f>AND(EXACT(W35,'2-3 INQUIRIES'!W11))</f>
        <v>0</v>
      </c>
      <c r="X57" s="3" t="b">
        <f>AND(EXACT(X35,'2-3 INQUIRIES'!X11))</f>
        <v>0</v>
      </c>
      <c r="Y57" s="3" t="b">
        <f>AND(EXACT(Y35,'2-3 INQUIRIES'!Y11))</f>
        <v>0</v>
      </c>
      <c r="Z57" s="3" t="b">
        <f>AND(EXACT(Z35,'2-3 INQUIRIES'!Z11))</f>
        <v>0</v>
      </c>
      <c r="AA57" s="3" t="b">
        <f>AND(EXACT(AA35,'2-3 INQUIRIES'!AA11))</f>
        <v>0</v>
      </c>
      <c r="AB57" s="3" t="b">
        <f>AND(EXACT(AB35,'2-3 INQUIRIES'!AB11))</f>
        <v>0</v>
      </c>
      <c r="AC57" s="3" t="b">
        <f>AND(EXACT(AC35,'2-3 INQUIRIES'!AC11))</f>
        <v>0</v>
      </c>
      <c r="AD57" s="3" t="b">
        <f>AND(EXACT(AD35,'2-3 INQUIRIES'!AD11))</f>
        <v>0</v>
      </c>
      <c r="AE57" s="3" t="b">
        <f>AND(EXACT(AE35,'2-3 INQUIRIES'!AE11))</f>
        <v>0</v>
      </c>
      <c r="AF57" s="3" t="b">
        <f>AND(EXACT(AF35,'2-3 INQUIRIES'!AF11))</f>
        <v>0</v>
      </c>
      <c r="AG57" s="3" t="b">
        <f>AND(EXACT(AG35,'2-3 INQUIRIES'!AG11))</f>
        <v>0</v>
      </c>
      <c r="AH57" s="3" t="b">
        <f>AND(EXACT(AH35,'2-3 INQUIRIES'!AH11))</f>
        <v>0</v>
      </c>
      <c r="AI57" s="3" t="b">
        <f>AND(EXACT(AI35,'2-3 INQUIRIES'!AI11))</f>
        <v>0</v>
      </c>
      <c r="AJ57" s="3" t="b">
        <f>AND(EXACT(AJ35,'2-3 INQUIRIES'!AJ11))</f>
        <v>0</v>
      </c>
      <c r="AK57" s="3" t="b">
        <f>AND(EXACT(AK35,'2-3 INQUIRIES'!AK11))</f>
        <v>0</v>
      </c>
      <c r="AL57" s="3" t="b">
        <f>AND(EXACT(AL35,'2-3 INQUIRIES'!AL11))</f>
        <v>0</v>
      </c>
    </row>
    <row r="58" spans="1:38" ht="31.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row>
    <row r="59" spans="1:38" ht="31.5" customHeight="1" x14ac:dyDescent="0.2">
      <c r="A59" s="15" t="s">
        <v>320</v>
      </c>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row>
    <row r="60" spans="1:38" ht="409"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row>
    <row r="61" spans="1:38" ht="31.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row>
    <row r="62" spans="1:38" ht="31.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row>
    <row r="63" spans="1:38" ht="131" customHeight="1" x14ac:dyDescent="0.2">
      <c r="A63" s="29"/>
      <c r="B63" s="29"/>
      <c r="C63" s="29"/>
      <c r="D63" s="29"/>
      <c r="E63" s="29"/>
      <c r="F63" s="29"/>
      <c r="G63" s="29"/>
      <c r="H63" s="29"/>
      <c r="I63" s="29"/>
      <c r="J63" s="29"/>
      <c r="K63" s="29"/>
      <c r="L63" s="29"/>
      <c r="M63" s="29"/>
      <c r="N63" s="29"/>
      <c r="O63" s="29"/>
      <c r="P63" s="29"/>
      <c r="Q63" s="29"/>
      <c r="R63" s="29"/>
      <c r="S63" s="29"/>
      <c r="T63" s="29"/>
      <c r="U63" s="3"/>
      <c r="V63" s="3"/>
      <c r="W63" s="3"/>
      <c r="X63" s="3"/>
      <c r="Y63" s="3"/>
      <c r="Z63" s="3"/>
      <c r="AA63" s="3"/>
      <c r="AB63" s="3"/>
      <c r="AC63" s="3"/>
      <c r="AD63" s="3"/>
      <c r="AE63" s="3"/>
      <c r="AF63" s="3"/>
      <c r="AG63" s="3"/>
      <c r="AH63" s="3"/>
      <c r="AI63" s="3"/>
      <c r="AJ63" s="3"/>
      <c r="AK63" s="3"/>
      <c r="AL63" s="3"/>
    </row>
    <row r="64" spans="1:38" ht="17.25" customHeight="1" x14ac:dyDescent="0.2">
      <c r="A64" s="15" t="s">
        <v>117</v>
      </c>
      <c r="B64" s="3"/>
      <c r="C64" s="25"/>
      <c r="D64" s="25"/>
      <c r="E64" s="25"/>
      <c r="F64" s="25"/>
      <c r="G64" s="25"/>
      <c r="H64" s="25"/>
      <c r="I64" s="25"/>
      <c r="J64" s="25"/>
      <c r="K64" s="25"/>
      <c r="L64" s="25"/>
      <c r="M64" s="25"/>
      <c r="N64" s="25"/>
      <c r="O64" s="3"/>
      <c r="P64" s="3"/>
      <c r="Q64" s="3"/>
      <c r="R64" s="3"/>
      <c r="S64" s="3"/>
      <c r="T64" s="3"/>
      <c r="U64" s="3"/>
      <c r="V64" s="3"/>
      <c r="W64" s="3"/>
      <c r="X64" s="3"/>
      <c r="Y64" s="3"/>
      <c r="Z64" s="3"/>
      <c r="AA64" s="3"/>
      <c r="AB64" s="3"/>
      <c r="AC64" s="3"/>
      <c r="AD64" s="3"/>
      <c r="AE64" s="3"/>
      <c r="AF64" s="3"/>
      <c r="AG64" s="3"/>
      <c r="AH64" s="3"/>
      <c r="AI64" s="3"/>
      <c r="AJ64" s="3"/>
      <c r="AK64" s="3"/>
      <c r="AL64" s="3"/>
    </row>
    <row r="65" spans="1:38" ht="15.75" customHeight="1" x14ac:dyDescent="0.2">
      <c r="A65" s="31" t="str">
        <f>(A1&amp;" - "&amp;A2)</f>
        <v>Indicator 15a - Indicator 15b</v>
      </c>
      <c r="B65" s="3"/>
      <c r="C65" s="82" t="s">
        <v>246</v>
      </c>
      <c r="D65" s="83"/>
      <c r="E65" s="83"/>
      <c r="F65" s="83"/>
      <c r="G65" s="83"/>
      <c r="H65" s="83"/>
      <c r="I65" s="83"/>
      <c r="J65" s="83"/>
      <c r="K65" s="83"/>
      <c r="L65" s="83"/>
      <c r="M65" s="83"/>
      <c r="N65" s="83"/>
      <c r="O65" s="3"/>
      <c r="P65" s="3"/>
      <c r="Q65" s="3"/>
      <c r="R65" s="3"/>
      <c r="S65" s="3"/>
      <c r="T65" s="3"/>
      <c r="U65" s="3"/>
      <c r="V65" s="3"/>
      <c r="W65" s="3"/>
      <c r="X65" s="3"/>
      <c r="Y65" s="3"/>
      <c r="Z65" s="3"/>
      <c r="AA65" s="3"/>
      <c r="AB65" s="3"/>
      <c r="AC65" s="3"/>
      <c r="AD65" s="3"/>
      <c r="AE65" s="3"/>
      <c r="AF65" s="3"/>
      <c r="AG65" s="3"/>
      <c r="AH65" s="3"/>
      <c r="AI65" s="3"/>
      <c r="AJ65" s="3"/>
      <c r="AK65" s="3"/>
      <c r="AL65" s="3"/>
    </row>
    <row r="66" spans="1:38" ht="15.75" customHeight="1" x14ac:dyDescent="0.2">
      <c r="A66" s="3"/>
      <c r="B66" s="3"/>
      <c r="C66" s="32"/>
      <c r="D66" s="32"/>
      <c r="E66" s="32"/>
      <c r="F66" s="32"/>
      <c r="G66" s="32"/>
      <c r="H66" s="32"/>
      <c r="I66" s="32"/>
      <c r="J66" s="32"/>
      <c r="K66" s="32"/>
      <c r="L66" s="32"/>
      <c r="M66" s="32"/>
      <c r="N66" s="32"/>
      <c r="O66" s="3"/>
      <c r="P66" s="3"/>
      <c r="Q66" s="3"/>
      <c r="R66" s="3"/>
      <c r="S66" s="3"/>
      <c r="T66" s="3"/>
      <c r="U66" s="3"/>
      <c r="V66" s="3"/>
      <c r="W66" s="3"/>
      <c r="X66" s="3"/>
      <c r="Y66" s="3"/>
      <c r="Z66" s="3"/>
      <c r="AA66" s="3"/>
      <c r="AB66" s="3"/>
      <c r="AC66" s="3"/>
      <c r="AD66" s="3"/>
      <c r="AE66" s="3"/>
      <c r="AF66" s="3"/>
      <c r="AG66" s="3"/>
      <c r="AH66" s="3"/>
      <c r="AI66" s="3"/>
      <c r="AJ66" s="3"/>
      <c r="AK66" s="3"/>
      <c r="AL66" s="3"/>
    </row>
    <row r="67" spans="1:38" ht="17.25" customHeight="1" x14ac:dyDescent="0.2">
      <c r="A67" s="15" t="s">
        <v>119</v>
      </c>
      <c r="B67" s="3"/>
      <c r="C67" s="32"/>
      <c r="D67" s="32"/>
      <c r="E67" s="32"/>
      <c r="F67" s="32"/>
      <c r="G67" s="32"/>
      <c r="H67" s="32"/>
      <c r="I67" s="32"/>
      <c r="J67" s="32"/>
      <c r="K67" s="32"/>
      <c r="L67" s="32"/>
      <c r="M67" s="32"/>
      <c r="N67" s="32"/>
      <c r="O67" s="3"/>
      <c r="P67" s="3"/>
      <c r="Q67" s="3"/>
      <c r="R67" s="3"/>
      <c r="S67" s="3"/>
      <c r="T67" s="3"/>
      <c r="U67" s="3"/>
      <c r="V67" s="3"/>
      <c r="W67" s="3"/>
      <c r="X67" s="3"/>
      <c r="Y67" s="3"/>
      <c r="Z67" s="3"/>
      <c r="AA67" s="3"/>
      <c r="AB67" s="3"/>
      <c r="AC67" s="3"/>
      <c r="AD67" s="3"/>
      <c r="AE67" s="3"/>
      <c r="AF67" s="3"/>
      <c r="AG67" s="3"/>
      <c r="AH67" s="3"/>
      <c r="AI67" s="3"/>
      <c r="AJ67" s="3"/>
      <c r="AK67" s="3"/>
      <c r="AL67" s="3"/>
    </row>
    <row r="68" spans="1:38" ht="48" customHeight="1" x14ac:dyDescent="0.2">
      <c r="A68" s="31" t="s">
        <v>236</v>
      </c>
      <c r="B68" s="3"/>
      <c r="C68" s="82" t="s">
        <v>247</v>
      </c>
      <c r="D68" s="83"/>
      <c r="E68" s="83"/>
      <c r="F68" s="83"/>
      <c r="G68" s="83"/>
      <c r="H68" s="83"/>
      <c r="I68" s="83"/>
      <c r="J68" s="83"/>
      <c r="K68" s="83"/>
      <c r="L68" s="83"/>
      <c r="M68" s="83"/>
      <c r="N68" s="83"/>
      <c r="O68" s="3"/>
      <c r="P68" s="3"/>
      <c r="Q68" s="3"/>
      <c r="R68" s="3"/>
      <c r="S68" s="3"/>
      <c r="T68" s="3"/>
      <c r="U68" s="3"/>
      <c r="V68" s="3"/>
      <c r="W68" s="3"/>
      <c r="X68" s="3"/>
      <c r="Y68" s="3"/>
      <c r="Z68" s="3"/>
      <c r="AA68" s="3"/>
      <c r="AB68" s="3"/>
      <c r="AC68" s="3"/>
      <c r="AD68" s="3"/>
      <c r="AE68" s="3"/>
      <c r="AF68" s="3"/>
      <c r="AG68" s="3"/>
      <c r="AH68" s="3"/>
      <c r="AI68" s="3"/>
      <c r="AJ68" s="3"/>
      <c r="AK68" s="3"/>
      <c r="AL68" s="3"/>
    </row>
    <row r="69" spans="1:38" ht="48" customHeight="1" x14ac:dyDescent="0.2">
      <c r="A69" s="41" t="s">
        <v>237</v>
      </c>
      <c r="B69" s="3"/>
      <c r="C69" s="82" t="s">
        <v>248</v>
      </c>
      <c r="D69" s="83"/>
      <c r="E69" s="83"/>
      <c r="F69" s="83"/>
      <c r="G69" s="83"/>
      <c r="H69" s="83"/>
      <c r="I69" s="83"/>
      <c r="J69" s="83"/>
      <c r="K69" s="83"/>
      <c r="L69" s="83"/>
      <c r="M69" s="83"/>
      <c r="N69" s="83"/>
      <c r="O69" s="3"/>
      <c r="P69" s="3"/>
      <c r="Q69" s="3"/>
      <c r="R69" s="3"/>
      <c r="S69" s="3"/>
      <c r="T69" s="3"/>
      <c r="U69" s="3"/>
      <c r="V69" s="3"/>
      <c r="W69" s="3"/>
      <c r="X69" s="3"/>
      <c r="Y69" s="3"/>
      <c r="Z69" s="3"/>
      <c r="AA69" s="3"/>
      <c r="AB69" s="3"/>
      <c r="AC69" s="3"/>
      <c r="AD69" s="3"/>
      <c r="AE69" s="3"/>
      <c r="AF69" s="3"/>
      <c r="AG69" s="3"/>
      <c r="AH69" s="3"/>
      <c r="AI69" s="3"/>
      <c r="AJ69" s="3"/>
      <c r="AK69" s="3"/>
      <c r="AL69" s="3"/>
    </row>
    <row r="70" spans="1:38" ht="48" customHeight="1" x14ac:dyDescent="0.2">
      <c r="A70" s="31" t="s">
        <v>238</v>
      </c>
      <c r="B70" s="3"/>
      <c r="C70" s="82" t="s">
        <v>249</v>
      </c>
      <c r="D70" s="83"/>
      <c r="E70" s="83"/>
      <c r="F70" s="83"/>
      <c r="G70" s="83"/>
      <c r="H70" s="83"/>
      <c r="I70" s="83"/>
      <c r="J70" s="83"/>
      <c r="K70" s="83"/>
      <c r="L70" s="83"/>
      <c r="M70" s="83"/>
      <c r="N70" s="83"/>
      <c r="O70" s="3"/>
      <c r="P70" s="3"/>
      <c r="Q70" s="3"/>
      <c r="R70" s="3"/>
      <c r="S70" s="3"/>
      <c r="T70" s="3"/>
      <c r="U70" s="3"/>
      <c r="V70" s="3"/>
      <c r="W70" s="3"/>
      <c r="X70" s="3"/>
      <c r="Y70" s="3"/>
      <c r="Z70" s="3"/>
      <c r="AA70" s="3"/>
      <c r="AB70" s="3"/>
      <c r="AC70" s="3"/>
      <c r="AD70" s="3"/>
      <c r="AE70" s="3"/>
      <c r="AF70" s="3"/>
      <c r="AG70" s="3"/>
      <c r="AH70" s="3"/>
      <c r="AI70" s="3"/>
      <c r="AJ70" s="3"/>
      <c r="AK70" s="3"/>
      <c r="AL70" s="3"/>
    </row>
    <row r="71" spans="1:38" ht="48" customHeight="1" x14ac:dyDescent="0.2">
      <c r="A71" s="41" t="s">
        <v>239</v>
      </c>
      <c r="B71" s="3"/>
      <c r="C71" s="82" t="s">
        <v>250</v>
      </c>
      <c r="D71" s="83"/>
      <c r="E71" s="83"/>
      <c r="F71" s="83"/>
      <c r="G71" s="83"/>
      <c r="H71" s="83"/>
      <c r="I71" s="83"/>
      <c r="J71" s="83"/>
      <c r="K71" s="83"/>
      <c r="L71" s="83"/>
      <c r="M71" s="83"/>
      <c r="N71" s="83"/>
      <c r="O71" s="3"/>
      <c r="P71" s="3"/>
      <c r="Q71" s="3"/>
      <c r="R71" s="3"/>
      <c r="S71" s="3"/>
      <c r="T71" s="3"/>
      <c r="U71" s="3"/>
      <c r="V71" s="3"/>
      <c r="W71" s="3"/>
      <c r="X71" s="3"/>
      <c r="Y71" s="3"/>
      <c r="Z71" s="3"/>
      <c r="AA71" s="3"/>
      <c r="AB71" s="3"/>
      <c r="AC71" s="3"/>
      <c r="AD71" s="3"/>
      <c r="AE71" s="3"/>
      <c r="AF71" s="3"/>
      <c r="AG71" s="3"/>
      <c r="AH71" s="3"/>
      <c r="AI71" s="3"/>
      <c r="AJ71" s="3"/>
      <c r="AK71" s="3"/>
      <c r="AL71" s="3"/>
    </row>
    <row r="72" spans="1:38" ht="48" customHeight="1" x14ac:dyDescent="0.2">
      <c r="A72" s="31" t="s">
        <v>240</v>
      </c>
      <c r="B72" s="3"/>
      <c r="C72" s="82" t="s">
        <v>251</v>
      </c>
      <c r="D72" s="83"/>
      <c r="E72" s="83"/>
      <c r="F72" s="83"/>
      <c r="G72" s="83"/>
      <c r="H72" s="83"/>
      <c r="I72" s="83"/>
      <c r="J72" s="83"/>
      <c r="K72" s="83"/>
      <c r="L72" s="83"/>
      <c r="M72" s="83"/>
      <c r="N72" s="83"/>
      <c r="O72" s="3"/>
      <c r="P72" s="3"/>
      <c r="Q72" s="3"/>
      <c r="R72" s="3"/>
      <c r="S72" s="3"/>
      <c r="T72" s="3"/>
      <c r="U72" s="3"/>
      <c r="V72" s="3"/>
      <c r="W72" s="3"/>
      <c r="X72" s="3"/>
      <c r="Y72" s="3"/>
      <c r="Z72" s="3"/>
      <c r="AA72" s="3"/>
      <c r="AB72" s="3"/>
      <c r="AC72" s="3"/>
      <c r="AD72" s="3"/>
      <c r="AE72" s="3"/>
      <c r="AF72" s="3"/>
      <c r="AG72" s="3"/>
      <c r="AH72" s="3"/>
      <c r="AI72" s="3"/>
      <c r="AJ72" s="3"/>
      <c r="AK72" s="3"/>
      <c r="AL72" s="3"/>
    </row>
    <row r="73" spans="1:38" ht="48" customHeight="1" x14ac:dyDescent="0.2">
      <c r="A73" s="41" t="s">
        <v>241</v>
      </c>
      <c r="B73" s="3"/>
      <c r="C73" s="82" t="s">
        <v>252</v>
      </c>
      <c r="D73" s="83"/>
      <c r="E73" s="83"/>
      <c r="F73" s="83"/>
      <c r="G73" s="83"/>
      <c r="H73" s="83"/>
      <c r="I73" s="83"/>
      <c r="J73" s="83"/>
      <c r="K73" s="83"/>
      <c r="L73" s="83"/>
      <c r="M73" s="83"/>
      <c r="N73" s="83"/>
      <c r="O73" s="3"/>
      <c r="P73" s="3"/>
      <c r="Q73" s="3"/>
      <c r="R73" s="3"/>
      <c r="S73" s="3"/>
      <c r="T73" s="3"/>
      <c r="U73" s="3"/>
      <c r="V73" s="3"/>
      <c r="W73" s="3"/>
      <c r="X73" s="3"/>
      <c r="Y73" s="3"/>
      <c r="Z73" s="3"/>
      <c r="AA73" s="3"/>
      <c r="AB73" s="3"/>
      <c r="AC73" s="3"/>
      <c r="AD73" s="3"/>
      <c r="AE73" s="3"/>
      <c r="AF73" s="3"/>
      <c r="AG73" s="3"/>
      <c r="AH73" s="3"/>
      <c r="AI73" s="3"/>
      <c r="AJ73" s="3"/>
      <c r="AK73" s="3"/>
      <c r="AL73" s="3"/>
    </row>
    <row r="74" spans="1:38" ht="120" customHeight="1" x14ac:dyDescent="0.2">
      <c r="A74" s="31" t="s">
        <v>242</v>
      </c>
      <c r="B74" s="3"/>
      <c r="C74" s="82" t="s">
        <v>253</v>
      </c>
      <c r="D74" s="83"/>
      <c r="E74" s="83"/>
      <c r="F74" s="83"/>
      <c r="G74" s="83"/>
      <c r="H74" s="83"/>
      <c r="I74" s="83"/>
      <c r="J74" s="83"/>
      <c r="K74" s="83"/>
      <c r="L74" s="83"/>
      <c r="M74" s="83"/>
      <c r="N74" s="83"/>
      <c r="O74" s="3"/>
      <c r="P74" s="3"/>
      <c r="Q74" s="3"/>
      <c r="R74" s="3"/>
      <c r="S74" s="3"/>
      <c r="T74" s="3"/>
      <c r="U74" s="3"/>
      <c r="V74" s="3"/>
      <c r="W74" s="3"/>
      <c r="X74" s="3"/>
      <c r="Y74" s="3"/>
      <c r="Z74" s="3"/>
      <c r="AA74" s="3"/>
      <c r="AB74" s="3"/>
      <c r="AC74" s="3"/>
      <c r="AD74" s="3"/>
      <c r="AE74" s="3"/>
      <c r="AF74" s="3"/>
      <c r="AG74" s="3"/>
      <c r="AH74" s="3"/>
      <c r="AI74" s="3"/>
      <c r="AJ74" s="3"/>
      <c r="AK74" s="3"/>
      <c r="AL74" s="3"/>
    </row>
    <row r="75" spans="1:38" ht="159.75" customHeight="1" x14ac:dyDescent="0.2">
      <c r="A75" s="41" t="s">
        <v>441</v>
      </c>
      <c r="B75" s="3"/>
      <c r="C75" s="82" t="s">
        <v>254</v>
      </c>
      <c r="D75" s="83"/>
      <c r="E75" s="83"/>
      <c r="F75" s="83"/>
      <c r="G75" s="83"/>
      <c r="H75" s="83"/>
      <c r="I75" s="83"/>
      <c r="J75" s="83"/>
      <c r="K75" s="83"/>
      <c r="L75" s="83"/>
      <c r="M75" s="83"/>
      <c r="N75" s="83"/>
      <c r="O75" s="3"/>
      <c r="P75" s="3"/>
      <c r="Q75" s="3"/>
      <c r="R75" s="3"/>
      <c r="S75" s="3"/>
      <c r="T75" s="3"/>
      <c r="U75" s="3"/>
      <c r="V75" s="3"/>
      <c r="W75" s="3"/>
      <c r="X75" s="3"/>
      <c r="Y75" s="3"/>
      <c r="Z75" s="3"/>
      <c r="AA75" s="3"/>
      <c r="AB75" s="3"/>
      <c r="AC75" s="3"/>
      <c r="AD75" s="3"/>
      <c r="AE75" s="3"/>
      <c r="AF75" s="3"/>
      <c r="AG75" s="3"/>
      <c r="AH75" s="3"/>
      <c r="AI75" s="3"/>
      <c r="AJ75" s="3"/>
      <c r="AK75" s="3"/>
      <c r="AL75" s="3"/>
    </row>
    <row r="76" spans="1:38" ht="159.75" customHeight="1" x14ac:dyDescent="0.2">
      <c r="A76" s="31" t="s">
        <v>243</v>
      </c>
      <c r="B76" s="3"/>
      <c r="C76" s="82" t="s">
        <v>255</v>
      </c>
      <c r="D76" s="83"/>
      <c r="E76" s="83"/>
      <c r="F76" s="83"/>
      <c r="G76" s="83"/>
      <c r="H76" s="83"/>
      <c r="I76" s="83"/>
      <c r="J76" s="83"/>
      <c r="K76" s="83"/>
      <c r="L76" s="83"/>
      <c r="M76" s="83"/>
      <c r="N76" s="83"/>
      <c r="O76" s="3"/>
      <c r="P76" s="3"/>
      <c r="Q76" s="3"/>
      <c r="R76" s="3"/>
      <c r="S76" s="3"/>
      <c r="T76" s="3"/>
      <c r="U76" s="3"/>
      <c r="V76" s="3"/>
      <c r="W76" s="3"/>
      <c r="X76" s="3"/>
      <c r="Y76" s="3"/>
      <c r="Z76" s="3"/>
      <c r="AA76" s="3"/>
      <c r="AB76" s="3"/>
      <c r="AC76" s="3"/>
      <c r="AD76" s="3"/>
      <c r="AE76" s="3"/>
      <c r="AF76" s="3"/>
      <c r="AG76" s="3"/>
      <c r="AH76" s="3"/>
      <c r="AI76" s="3"/>
      <c r="AJ76" s="3"/>
      <c r="AK76" s="3"/>
      <c r="AL76" s="3"/>
    </row>
    <row r="77" spans="1:38" ht="354" customHeight="1" x14ac:dyDescent="0.2">
      <c r="A77" s="41" t="s">
        <v>256</v>
      </c>
      <c r="B77" s="3"/>
      <c r="C77" s="82" t="s">
        <v>439</v>
      </c>
      <c r="D77" s="83"/>
      <c r="E77" s="83"/>
      <c r="F77" s="83"/>
      <c r="G77" s="83"/>
      <c r="H77" s="83"/>
      <c r="I77" s="83"/>
      <c r="J77" s="83"/>
      <c r="K77" s="83"/>
      <c r="L77" s="83"/>
      <c r="M77" s="83"/>
      <c r="N77" s="83"/>
      <c r="O77" s="3"/>
      <c r="P77" s="3"/>
      <c r="Q77" s="3"/>
      <c r="R77" s="3"/>
      <c r="S77" s="3"/>
      <c r="T77" s="3"/>
      <c r="U77" s="3"/>
      <c r="V77" s="3"/>
      <c r="W77" s="3"/>
      <c r="X77" s="3"/>
      <c r="Y77" s="3"/>
      <c r="Z77" s="3"/>
      <c r="AA77" s="3"/>
      <c r="AB77" s="3"/>
      <c r="AC77" s="3"/>
      <c r="AD77" s="3"/>
      <c r="AE77" s="3"/>
      <c r="AF77" s="3"/>
      <c r="AG77" s="3"/>
      <c r="AH77" s="3"/>
      <c r="AI77" s="3"/>
      <c r="AJ77" s="3"/>
      <c r="AK77" s="3"/>
      <c r="AL77" s="3"/>
    </row>
    <row r="78" spans="1:38" ht="409" customHeight="1" x14ac:dyDescent="0.2">
      <c r="A78" s="76"/>
      <c r="B78" s="3"/>
      <c r="C78" s="84" t="s">
        <v>438</v>
      </c>
      <c r="D78" s="84"/>
      <c r="E78" s="84"/>
      <c r="F78" s="84"/>
      <c r="G78" s="84"/>
      <c r="H78" s="84"/>
      <c r="I78" s="84"/>
      <c r="J78" s="84"/>
      <c r="K78" s="84"/>
      <c r="L78" s="84"/>
      <c r="M78" s="84"/>
      <c r="N78" s="84"/>
      <c r="O78" s="3"/>
      <c r="P78" s="3"/>
      <c r="Q78" s="3"/>
      <c r="R78" s="3"/>
      <c r="S78" s="3"/>
      <c r="T78" s="3"/>
      <c r="U78" s="3"/>
      <c r="V78" s="3"/>
      <c r="W78" s="3"/>
      <c r="X78" s="3"/>
      <c r="Y78" s="3"/>
      <c r="Z78" s="3"/>
      <c r="AA78" s="3"/>
      <c r="AB78" s="3"/>
      <c r="AC78" s="3"/>
      <c r="AD78" s="3"/>
      <c r="AE78" s="3"/>
      <c r="AF78" s="3"/>
      <c r="AG78" s="3"/>
      <c r="AH78" s="3"/>
      <c r="AI78" s="3"/>
      <c r="AJ78" s="3"/>
      <c r="AK78" s="3"/>
      <c r="AL78" s="3"/>
    </row>
    <row r="79" spans="1:38" ht="188" customHeight="1" x14ac:dyDescent="0.2">
      <c r="A79" s="31" t="s">
        <v>437</v>
      </c>
      <c r="B79" s="3"/>
      <c r="C79" s="84" t="s">
        <v>442</v>
      </c>
      <c r="D79" s="84"/>
      <c r="E79" s="84"/>
      <c r="F79" s="84"/>
      <c r="G79" s="84"/>
      <c r="H79" s="84"/>
      <c r="I79" s="84"/>
      <c r="J79" s="84"/>
      <c r="K79" s="84"/>
      <c r="L79" s="84"/>
      <c r="M79" s="84"/>
      <c r="N79" s="84"/>
      <c r="O79" s="3"/>
      <c r="P79" s="3"/>
      <c r="Q79" s="3"/>
      <c r="R79" s="3"/>
      <c r="S79" s="3"/>
      <c r="T79" s="3"/>
      <c r="U79" s="3"/>
      <c r="V79" s="3"/>
      <c r="W79" s="3"/>
      <c r="X79" s="3"/>
      <c r="Y79" s="3"/>
      <c r="Z79" s="3"/>
      <c r="AA79" s="3"/>
      <c r="AB79" s="3"/>
      <c r="AC79" s="3"/>
      <c r="AD79" s="3"/>
      <c r="AE79" s="3"/>
      <c r="AF79" s="3"/>
      <c r="AG79" s="3"/>
      <c r="AH79" s="3"/>
      <c r="AI79" s="3"/>
      <c r="AJ79" s="3"/>
      <c r="AK79" s="3"/>
      <c r="AL79" s="3"/>
    </row>
    <row r="80" spans="1:38" ht="15.75" customHeight="1" x14ac:dyDescent="0.2">
      <c r="A80" s="3"/>
      <c r="B80" s="3"/>
      <c r="C80" s="32"/>
      <c r="D80" s="32"/>
      <c r="E80" s="32"/>
      <c r="F80" s="32"/>
      <c r="G80" s="32"/>
      <c r="H80" s="32"/>
      <c r="I80" s="32"/>
      <c r="J80" s="32"/>
      <c r="K80" s="32"/>
      <c r="L80" s="32"/>
      <c r="M80" s="32"/>
      <c r="N80" s="32"/>
      <c r="O80" s="3"/>
      <c r="P80" s="3"/>
      <c r="Q80" s="3"/>
      <c r="R80" s="3"/>
      <c r="S80" s="3"/>
      <c r="T80" s="3"/>
      <c r="U80" s="3"/>
      <c r="V80" s="3"/>
      <c r="W80" s="3"/>
      <c r="X80" s="3"/>
      <c r="Y80" s="3"/>
      <c r="Z80" s="3"/>
      <c r="AA80" s="3"/>
      <c r="AB80" s="3"/>
      <c r="AC80" s="3"/>
      <c r="AD80" s="3"/>
      <c r="AE80" s="3"/>
      <c r="AF80" s="3"/>
      <c r="AG80" s="3"/>
      <c r="AH80" s="3"/>
      <c r="AI80" s="3"/>
      <c r="AJ80" s="3"/>
      <c r="AK80" s="3"/>
      <c r="AL80" s="3"/>
    </row>
    <row r="81" spans="1:38" ht="15.75" customHeight="1" x14ac:dyDescent="0.2">
      <c r="A81" s="15" t="s">
        <v>142</v>
      </c>
      <c r="B81" s="3"/>
      <c r="C81" s="32"/>
      <c r="D81" s="32"/>
      <c r="E81" s="32"/>
      <c r="F81" s="32"/>
      <c r="G81" s="32"/>
      <c r="H81" s="32"/>
      <c r="I81" s="32"/>
      <c r="J81" s="32"/>
      <c r="K81" s="32"/>
      <c r="L81" s="32"/>
      <c r="M81" s="32"/>
      <c r="N81" s="32"/>
      <c r="O81" s="3"/>
      <c r="P81" s="3"/>
      <c r="Q81" s="3"/>
      <c r="R81" s="3"/>
      <c r="S81" s="3"/>
      <c r="T81" s="3"/>
      <c r="U81" s="3"/>
      <c r="V81" s="3"/>
      <c r="W81" s="3"/>
      <c r="X81" s="3"/>
      <c r="Y81" s="3"/>
      <c r="Z81" s="3"/>
      <c r="AA81" s="3"/>
      <c r="AB81" s="3"/>
      <c r="AC81" s="3"/>
      <c r="AD81" s="3"/>
      <c r="AE81" s="3"/>
      <c r="AF81" s="3"/>
      <c r="AG81" s="3"/>
      <c r="AH81" s="3"/>
      <c r="AI81" s="3"/>
      <c r="AJ81" s="3"/>
      <c r="AK81" s="3"/>
      <c r="AL81" s="3"/>
    </row>
    <row r="82" spans="1:38" ht="15.75" customHeight="1" x14ac:dyDescent="0.2">
      <c r="A82" s="38" t="str">
        <f>(A1&amp;" - "&amp;A2)</f>
        <v>Indicator 15a - Indicator 15b</v>
      </c>
      <c r="B82" s="3"/>
      <c r="C82" s="82" t="s">
        <v>143</v>
      </c>
      <c r="D82" s="83"/>
      <c r="E82" s="83"/>
      <c r="F82" s="83"/>
      <c r="G82" s="83"/>
      <c r="H82" s="83"/>
      <c r="I82" s="83"/>
      <c r="J82" s="83"/>
      <c r="K82" s="83"/>
      <c r="L82" s="83"/>
      <c r="M82" s="83"/>
      <c r="N82" s="83"/>
      <c r="O82" s="3"/>
      <c r="P82" s="3"/>
      <c r="Q82" s="3"/>
      <c r="R82" s="3"/>
      <c r="S82" s="3"/>
      <c r="T82" s="3"/>
      <c r="U82" s="3"/>
      <c r="V82" s="3"/>
      <c r="W82" s="3"/>
      <c r="X82" s="3"/>
      <c r="Y82" s="3"/>
      <c r="Z82" s="3"/>
      <c r="AA82" s="3"/>
      <c r="AB82" s="3"/>
      <c r="AC82" s="3"/>
      <c r="AD82" s="3"/>
      <c r="AE82" s="3"/>
      <c r="AF82" s="3"/>
      <c r="AG82" s="3"/>
      <c r="AH82" s="3"/>
      <c r="AI82" s="3"/>
      <c r="AJ82" s="3"/>
      <c r="AK82" s="3"/>
      <c r="AL82" s="3"/>
    </row>
    <row r="83" spans="1:38" ht="15.75" customHeight="1" x14ac:dyDescent="0.2">
      <c r="A83" s="3"/>
      <c r="B83" s="3"/>
      <c r="C83" s="32"/>
      <c r="D83" s="32"/>
      <c r="E83" s="32"/>
      <c r="F83" s="32"/>
      <c r="G83" s="32"/>
      <c r="H83" s="32"/>
      <c r="I83" s="32"/>
      <c r="J83" s="32"/>
      <c r="K83" s="32"/>
      <c r="L83" s="32"/>
      <c r="M83" s="32"/>
      <c r="N83" s="32"/>
      <c r="O83" s="3"/>
      <c r="P83" s="3"/>
      <c r="Q83" s="3"/>
      <c r="R83" s="3"/>
      <c r="S83" s="3"/>
      <c r="T83" s="3"/>
      <c r="U83" s="3"/>
      <c r="V83" s="3"/>
      <c r="W83" s="3"/>
      <c r="X83" s="3"/>
      <c r="Y83" s="3"/>
      <c r="Z83" s="3"/>
      <c r="AA83" s="3"/>
      <c r="AB83" s="3"/>
      <c r="AC83" s="3"/>
      <c r="AD83" s="3"/>
      <c r="AE83" s="3"/>
      <c r="AF83" s="3"/>
      <c r="AG83" s="3"/>
      <c r="AH83" s="3"/>
      <c r="AI83" s="3"/>
      <c r="AJ83" s="3"/>
      <c r="AK83" s="3"/>
      <c r="AL83" s="3"/>
    </row>
    <row r="84" spans="1:38" ht="15.75" customHeight="1" x14ac:dyDescent="0.2">
      <c r="A84" s="15" t="s">
        <v>144</v>
      </c>
      <c r="B84" s="3"/>
      <c r="C84" s="32"/>
      <c r="D84" s="32"/>
      <c r="E84" s="32"/>
      <c r="F84" s="32"/>
      <c r="G84" s="32"/>
      <c r="H84" s="32"/>
      <c r="I84" s="32"/>
      <c r="J84" s="32"/>
      <c r="K84" s="32"/>
      <c r="L84" s="32"/>
      <c r="M84" s="32"/>
      <c r="N84" s="32"/>
      <c r="O84" s="3"/>
      <c r="P84" s="3"/>
      <c r="Q84" s="3"/>
      <c r="R84" s="3"/>
      <c r="S84" s="3"/>
      <c r="T84" s="3"/>
      <c r="U84" s="3"/>
      <c r="V84" s="3"/>
      <c r="W84" s="3"/>
      <c r="X84" s="3"/>
      <c r="Y84" s="3"/>
      <c r="Z84" s="3"/>
      <c r="AA84" s="3"/>
      <c r="AB84" s="3"/>
      <c r="AC84" s="3"/>
      <c r="AD84" s="3"/>
      <c r="AE84" s="3"/>
      <c r="AF84" s="3"/>
      <c r="AG84" s="3"/>
      <c r="AH84" s="3"/>
      <c r="AI84" s="3"/>
      <c r="AJ84" s="3"/>
      <c r="AK84" s="3"/>
      <c r="AL84" s="3"/>
    </row>
    <row r="85" spans="1:38" ht="56.25" customHeight="1" x14ac:dyDescent="0.2">
      <c r="A85" s="31" t="str">
        <f>(A1&amp;" - "&amp;A2)</f>
        <v>Indicator 15a - Indicator 15b</v>
      </c>
      <c r="B85" s="3"/>
      <c r="C85" s="82" t="s">
        <v>257</v>
      </c>
      <c r="D85" s="83"/>
      <c r="E85" s="83"/>
      <c r="F85" s="83"/>
      <c r="G85" s="83"/>
      <c r="H85" s="83"/>
      <c r="I85" s="83"/>
      <c r="J85" s="83"/>
      <c r="K85" s="83"/>
      <c r="L85" s="83"/>
      <c r="M85" s="83"/>
      <c r="N85" s="83"/>
      <c r="O85" s="36"/>
      <c r="P85" s="36"/>
      <c r="Q85" s="36"/>
      <c r="R85" s="36"/>
      <c r="S85" s="36"/>
      <c r="T85" s="36"/>
      <c r="U85" s="36"/>
      <c r="V85" s="36"/>
      <c r="W85" s="36"/>
      <c r="X85" s="36"/>
      <c r="Y85" s="36"/>
      <c r="Z85" s="36"/>
      <c r="AA85" s="36"/>
      <c r="AB85" s="3"/>
      <c r="AC85" s="3"/>
      <c r="AD85" s="3"/>
      <c r="AE85" s="3"/>
      <c r="AF85" s="3"/>
      <c r="AG85" s="3"/>
      <c r="AH85" s="3"/>
      <c r="AI85" s="3"/>
      <c r="AJ85" s="3"/>
      <c r="AK85" s="3"/>
      <c r="AL85" s="3"/>
    </row>
    <row r="86" spans="1:38" ht="15" customHeight="1" x14ac:dyDescent="0.2">
      <c r="A86" s="3"/>
      <c r="B86" s="3"/>
      <c r="C86" s="32"/>
      <c r="D86" s="32"/>
      <c r="E86" s="32"/>
      <c r="F86" s="32"/>
      <c r="G86" s="32"/>
      <c r="H86" s="32"/>
      <c r="I86" s="32"/>
      <c r="J86" s="32"/>
      <c r="K86" s="32"/>
      <c r="L86" s="32"/>
      <c r="M86" s="32"/>
      <c r="N86" s="32"/>
      <c r="O86" s="3"/>
      <c r="P86" s="3"/>
      <c r="Q86" s="3"/>
      <c r="R86" s="3"/>
      <c r="S86" s="3"/>
      <c r="T86" s="3"/>
      <c r="U86" s="3"/>
      <c r="V86" s="3"/>
      <c r="W86" s="3"/>
      <c r="X86" s="3"/>
      <c r="Y86" s="3"/>
      <c r="Z86" s="3"/>
      <c r="AA86" s="3"/>
      <c r="AB86" s="3"/>
      <c r="AC86" s="3"/>
      <c r="AD86" s="3"/>
      <c r="AE86" s="3"/>
      <c r="AF86" s="3"/>
      <c r="AG86" s="3"/>
      <c r="AH86" s="3"/>
      <c r="AI86" s="3"/>
      <c r="AJ86" s="3"/>
      <c r="AK86" s="3"/>
      <c r="AL86" s="3"/>
    </row>
    <row r="87" spans="1:38"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row>
    <row r="88" spans="1:38"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row>
    <row r="89" spans="1:38"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row>
    <row r="90" spans="1:38"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row>
    <row r="91" spans="1:38"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row>
    <row r="92" spans="1:38"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row>
    <row r="93" spans="1:38"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row>
    <row r="94" spans="1:38"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row>
    <row r="95" spans="1:38"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row>
    <row r="96" spans="1:38"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row>
    <row r="97" spans="1:38"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row>
    <row r="98" spans="1:38"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row>
    <row r="99" spans="1:38"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row>
    <row r="100" spans="1:38"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row>
    <row r="101" spans="1:38"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row>
    <row r="102" spans="1:38"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row>
    <row r="103" spans="1:38"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row>
    <row r="104" spans="1:38"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row>
    <row r="105" spans="1:38"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row>
    <row r="106" spans="1:38"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row>
    <row r="107" spans="1:38"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row>
    <row r="108" spans="1:38"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row>
    <row r="109" spans="1:38"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row>
    <row r="110" spans="1:38"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row>
    <row r="111" spans="1:38"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row>
    <row r="112" spans="1:38"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row>
    <row r="113" spans="1:38"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row>
    <row r="114" spans="1:38"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row>
    <row r="115" spans="1:38"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row>
    <row r="116" spans="1:38"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row>
    <row r="117" spans="1:38"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row>
    <row r="118" spans="1:38"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row>
    <row r="119" spans="1:38"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row>
    <row r="120" spans="1:38"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row>
    <row r="121" spans="1:38"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row>
    <row r="122" spans="1:38"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row>
    <row r="123" spans="1:38"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row>
    <row r="124" spans="1:38"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row>
    <row r="125" spans="1:38"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row>
    <row r="126" spans="1:38"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row>
    <row r="127" spans="1:38"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row>
    <row r="128" spans="1:38"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row>
    <row r="129" spans="1:38"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row>
    <row r="130" spans="1:38"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row>
    <row r="131" spans="1:38"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row>
    <row r="132" spans="1:38"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row>
    <row r="133" spans="1:38"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row>
    <row r="134" spans="1:38"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row>
    <row r="135" spans="1:38"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row>
    <row r="136" spans="1:38"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row>
    <row r="137" spans="1:38"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row>
    <row r="138" spans="1:38"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row>
    <row r="139" spans="1:38"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row>
    <row r="140" spans="1:38"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row>
    <row r="141" spans="1:38"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row>
    <row r="142" spans="1:38"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row>
    <row r="143" spans="1:38"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row>
    <row r="144" spans="1:38"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row>
    <row r="145" spans="1:38"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row>
    <row r="146" spans="1:38"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row>
    <row r="147" spans="1:38"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row>
    <row r="148" spans="1:38"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row>
    <row r="149" spans="1:38"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row>
    <row r="150" spans="1:38"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row>
    <row r="151" spans="1:38"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row>
    <row r="152" spans="1:38"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row>
    <row r="153" spans="1:38"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row>
    <row r="154" spans="1:38"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row>
    <row r="155" spans="1:38"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row>
    <row r="156" spans="1:38"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row>
    <row r="157" spans="1:38"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row>
    <row r="158" spans="1:38"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row>
    <row r="159" spans="1:38"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row>
    <row r="160" spans="1:38"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row>
    <row r="161" spans="1:38"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row>
    <row r="162" spans="1:38"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row>
    <row r="163" spans="1:38"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row>
    <row r="164" spans="1:38"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row>
    <row r="165" spans="1:38"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row>
    <row r="166" spans="1:38"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row>
    <row r="167" spans="1:38"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row>
    <row r="168" spans="1:38"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row>
    <row r="169" spans="1:38"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row>
    <row r="170" spans="1:38"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row>
    <row r="171" spans="1:38"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row>
    <row r="172" spans="1:38"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row>
    <row r="173" spans="1:38"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row>
    <row r="174" spans="1:38"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row>
    <row r="175" spans="1:38"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row>
    <row r="176" spans="1:38"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row>
    <row r="177" spans="1:38"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row>
    <row r="178" spans="1:38"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row>
    <row r="179" spans="1:38"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row>
    <row r="180" spans="1:38"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row>
    <row r="181" spans="1:38"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row>
    <row r="182" spans="1:38"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row>
    <row r="183" spans="1:38"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row>
    <row r="184" spans="1:38"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row>
    <row r="185" spans="1:38"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row>
    <row r="186" spans="1:38"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row>
    <row r="187" spans="1:38"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row>
    <row r="188" spans="1:38"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row>
    <row r="189" spans="1:38"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row>
    <row r="190" spans="1:38"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row>
    <row r="191" spans="1:38"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row>
    <row r="192" spans="1:38"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row>
    <row r="193" spans="1:38"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row>
    <row r="194" spans="1:38"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row>
    <row r="195" spans="1:38"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row>
    <row r="196" spans="1:38"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row>
    <row r="197" spans="1:38"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row>
    <row r="198" spans="1:38"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row>
    <row r="199" spans="1:38"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row>
    <row r="200" spans="1:38"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row>
    <row r="201" spans="1:38"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row>
    <row r="202" spans="1:38"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row>
    <row r="203" spans="1:38"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row>
    <row r="204" spans="1:38"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row>
    <row r="205" spans="1:38"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row>
    <row r="206" spans="1:38"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row>
    <row r="207" spans="1:38"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row>
    <row r="208" spans="1:38"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row>
    <row r="209" spans="1:38"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row>
    <row r="210" spans="1:38"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row>
    <row r="211" spans="1:38"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row>
    <row r="212" spans="1:38"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row>
    <row r="213" spans="1:38"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row>
    <row r="214" spans="1:38"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row>
    <row r="215" spans="1:38"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row>
    <row r="216" spans="1:38"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row>
    <row r="217" spans="1:38"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row>
    <row r="218" spans="1:38"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row>
    <row r="219" spans="1:38"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row>
    <row r="220" spans="1:38"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row>
    <row r="221" spans="1:38"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row>
    <row r="222" spans="1:38"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row>
    <row r="223" spans="1:38"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row>
    <row r="224" spans="1:38"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row>
    <row r="225" spans="1:38"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row>
    <row r="226" spans="1:38"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row>
    <row r="227" spans="1:38"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row>
    <row r="228" spans="1:38"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row>
    <row r="229" spans="1:38"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row>
    <row r="230" spans="1:38"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row>
    <row r="231" spans="1:38"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row>
    <row r="232" spans="1:38"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row>
    <row r="233" spans="1:38"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row>
    <row r="234" spans="1:38"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row>
    <row r="235" spans="1:38"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row>
    <row r="236" spans="1:38"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row>
    <row r="237" spans="1:38"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row>
    <row r="238" spans="1:38"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row>
    <row r="239" spans="1:38"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row>
    <row r="240" spans="1:38"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row>
    <row r="241" spans="1:38"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row>
    <row r="242" spans="1:38"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row>
    <row r="243" spans="1:38"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row>
    <row r="244" spans="1:38"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row>
    <row r="245" spans="1:38"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row>
    <row r="246" spans="1:38"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row>
    <row r="247" spans="1:38"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row>
    <row r="248" spans="1:38"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row>
    <row r="249" spans="1:38"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row>
    <row r="250" spans="1:38"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row>
    <row r="251" spans="1:38"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row>
    <row r="252" spans="1:38"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row>
    <row r="253" spans="1:38"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row>
    <row r="254" spans="1:38"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row>
    <row r="255" spans="1:38"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row>
    <row r="256" spans="1:38"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row>
    <row r="257" spans="1:38"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row>
    <row r="258" spans="1:38"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row>
    <row r="259" spans="1:38"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row>
    <row r="260" spans="1:38"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row>
    <row r="261" spans="1:38"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row>
    <row r="262" spans="1:38"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row>
    <row r="263" spans="1:38"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row>
    <row r="264" spans="1:38"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row>
    <row r="265" spans="1:38"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row>
    <row r="266" spans="1:38"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row>
    <row r="267" spans="1:38"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row>
    <row r="268" spans="1:38"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row>
    <row r="269" spans="1:38"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row>
    <row r="270" spans="1:38"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row>
    <row r="271" spans="1:38"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row>
    <row r="272" spans="1:38"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row>
    <row r="273" spans="1:38"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row>
    <row r="274" spans="1:38"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row>
    <row r="275" spans="1:38"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row>
    <row r="276" spans="1:38"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row>
    <row r="277" spans="1:38"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row>
    <row r="278" spans="1:38"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row>
    <row r="279" spans="1:38"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row>
    <row r="280" spans="1:38"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row>
    <row r="281" spans="1:38"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row>
    <row r="282" spans="1:38"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row>
    <row r="283" spans="1:38"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row>
    <row r="284" spans="1:38"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row>
    <row r="285" spans="1:38"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row>
    <row r="286" spans="1:38" ht="15.75" customHeight="1" x14ac:dyDescent="0.2"/>
    <row r="287" spans="1:38" ht="15.75" customHeight="1" x14ac:dyDescent="0.2"/>
    <row r="288" spans="1:3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16">
    <mergeCell ref="C54:T54"/>
    <mergeCell ref="C65:N65"/>
    <mergeCell ref="C68:N68"/>
    <mergeCell ref="C69:N69"/>
    <mergeCell ref="C70:N70"/>
    <mergeCell ref="C76:N76"/>
    <mergeCell ref="C77:N77"/>
    <mergeCell ref="C82:N82"/>
    <mergeCell ref="C85:N85"/>
    <mergeCell ref="C71:N71"/>
    <mergeCell ref="C72:N72"/>
    <mergeCell ref="C73:N73"/>
    <mergeCell ref="C74:N74"/>
    <mergeCell ref="C75:N75"/>
    <mergeCell ref="C79:N79"/>
    <mergeCell ref="C78:N78"/>
  </mergeCells>
  <conditionalFormatting sqref="C56:AL57">
    <cfRule type="containsText" dxfId="5" priority="1" operator="containsText" text="TRUE">
      <formula>NOT(ISERROR(SEARCH("TRUE",C56)))</formula>
    </cfRule>
    <cfRule type="containsText" dxfId="4" priority="2" operator="containsText" text="FALSE">
      <formula>NOT(ISERROR(SEARCH("FALSE",C56)))</formula>
    </cfRule>
  </conditionalFormatting>
  <pageMargins left="0.7" right="0.7" top="0.75" bottom="0.75" header="0" footer="0"/>
  <pageSetup paperSize="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sheetPr>
  <dimension ref="A1:AL1000"/>
  <sheetViews>
    <sheetView showGridLines="0" zoomScale="120" zoomScaleNormal="120" workbookViewId="0">
      <selection activeCell="C22" sqref="C22:J32"/>
    </sheetView>
  </sheetViews>
  <sheetFormatPr baseColWidth="10" defaultColWidth="14.5" defaultRowHeight="15" customHeight="1" x14ac:dyDescent="0.2"/>
  <cols>
    <col min="1" max="1" width="51.6640625" customWidth="1"/>
    <col min="2" max="2" width="1.33203125" customWidth="1"/>
    <col min="3" max="34" width="9.1640625" customWidth="1"/>
    <col min="35" max="35" width="10.6640625" bestFit="1" customWidth="1"/>
    <col min="36" max="36" width="11" bestFit="1" customWidth="1"/>
    <col min="37" max="37" width="10.6640625" bestFit="1" customWidth="1"/>
    <col min="38" max="38" width="11" bestFit="1" customWidth="1"/>
  </cols>
  <sheetData>
    <row r="1" spans="1:38" ht="31.5" customHeight="1" x14ac:dyDescent="0.2">
      <c r="A1" s="10" t="s">
        <v>258</v>
      </c>
      <c r="B1" s="10"/>
      <c r="C1" s="11" t="s">
        <v>259</v>
      </c>
      <c r="D1" s="10"/>
      <c r="E1" s="10"/>
      <c r="F1" s="10"/>
      <c r="G1" s="10"/>
      <c r="H1" s="10"/>
      <c r="I1" s="10"/>
      <c r="J1" s="10"/>
      <c r="K1" s="10"/>
      <c r="L1" s="10"/>
      <c r="M1" s="10"/>
      <c r="N1" s="10"/>
      <c r="O1" s="10"/>
      <c r="P1" s="10"/>
      <c r="Q1" s="10"/>
      <c r="R1" s="10"/>
      <c r="S1" s="10"/>
      <c r="T1" s="10"/>
      <c r="U1" s="3"/>
      <c r="V1" s="3"/>
      <c r="W1" s="3"/>
      <c r="X1" s="3"/>
      <c r="Y1" s="3"/>
      <c r="Z1" s="3"/>
      <c r="AA1" s="3"/>
      <c r="AB1" s="3"/>
      <c r="AC1" s="3"/>
      <c r="AD1" s="3"/>
      <c r="AE1" s="3"/>
      <c r="AF1" s="3"/>
      <c r="AG1" s="3"/>
      <c r="AH1" s="3"/>
      <c r="AI1" s="3"/>
      <c r="AJ1" s="3"/>
      <c r="AK1" s="3"/>
      <c r="AL1" s="3"/>
    </row>
    <row r="2" spans="1:38" ht="31.5" customHeight="1" x14ac:dyDescent="0.2">
      <c r="A2" s="10" t="s">
        <v>260</v>
      </c>
      <c r="B2" s="10"/>
      <c r="C2" s="11" t="s">
        <v>261</v>
      </c>
      <c r="D2" s="10"/>
      <c r="E2" s="10"/>
      <c r="F2" s="10"/>
      <c r="G2" s="10"/>
      <c r="H2" s="10"/>
      <c r="I2" s="10"/>
      <c r="J2" s="10"/>
      <c r="K2" s="10"/>
      <c r="L2" s="10"/>
      <c r="M2" s="10"/>
      <c r="N2" s="10"/>
      <c r="O2" s="10"/>
      <c r="P2" s="10"/>
      <c r="Q2" s="10"/>
      <c r="R2" s="10"/>
      <c r="S2" s="10"/>
      <c r="T2" s="10"/>
      <c r="U2" s="3"/>
      <c r="V2" s="3"/>
      <c r="W2" s="3"/>
      <c r="X2" s="3"/>
      <c r="Y2" s="3"/>
      <c r="Z2" s="3"/>
      <c r="AA2" s="3"/>
      <c r="AB2" s="3"/>
      <c r="AC2" s="3"/>
      <c r="AD2" s="3"/>
      <c r="AE2" s="3"/>
      <c r="AF2" s="3"/>
      <c r="AG2" s="3"/>
      <c r="AH2" s="3"/>
      <c r="AI2" s="3"/>
      <c r="AJ2" s="3"/>
      <c r="AK2" s="3"/>
      <c r="AL2" s="3"/>
    </row>
    <row r="3" spans="1:38" ht="31.5" customHeight="1" x14ac:dyDescent="0.25">
      <c r="A3" s="12"/>
      <c r="B3" s="3"/>
      <c r="C3" s="13"/>
      <c r="D3" s="14"/>
      <c r="E3" s="14"/>
      <c r="F3" s="14"/>
      <c r="G3" s="14"/>
      <c r="H3" s="14"/>
      <c r="I3" s="14"/>
      <c r="J3" s="14"/>
      <c r="K3" s="14"/>
      <c r="L3" s="14"/>
      <c r="M3" s="14"/>
      <c r="N3" s="14"/>
      <c r="O3" s="3"/>
      <c r="P3" s="3"/>
      <c r="Q3" s="3"/>
      <c r="R3" s="3"/>
      <c r="S3" s="3"/>
      <c r="T3" s="3"/>
      <c r="U3" s="3"/>
      <c r="V3" s="3"/>
      <c r="W3" s="3"/>
      <c r="X3" s="3"/>
      <c r="Y3" s="3"/>
      <c r="Z3" s="3"/>
      <c r="AA3" s="3"/>
      <c r="AB3" s="3"/>
      <c r="AC3" s="3"/>
      <c r="AD3" s="3"/>
      <c r="AE3" s="3"/>
      <c r="AF3" s="3"/>
      <c r="AG3" s="3"/>
      <c r="AH3" s="3"/>
      <c r="AI3" s="3"/>
      <c r="AJ3" s="3"/>
      <c r="AK3" s="3"/>
      <c r="AL3" s="3"/>
    </row>
    <row r="4" spans="1:38" ht="19" x14ac:dyDescent="0.25">
      <c r="A4" s="15" t="s">
        <v>61</v>
      </c>
      <c r="B4" s="3"/>
      <c r="C4" s="13"/>
      <c r="D4" s="14"/>
      <c r="E4" s="14"/>
      <c r="F4" s="14"/>
      <c r="G4" s="14"/>
      <c r="H4" s="14"/>
      <c r="I4" s="14"/>
      <c r="J4" s="14"/>
      <c r="K4" s="14"/>
      <c r="L4" s="14"/>
      <c r="M4" s="14"/>
      <c r="N4" s="14"/>
      <c r="O4" s="3"/>
      <c r="P4" s="3"/>
      <c r="Q4" s="3"/>
      <c r="R4" s="3"/>
      <c r="S4" s="3"/>
      <c r="T4" s="3"/>
      <c r="U4" s="3"/>
      <c r="V4" s="3"/>
      <c r="W4" s="3"/>
      <c r="X4" s="3"/>
      <c r="Y4" s="3"/>
      <c r="Z4" s="3"/>
      <c r="AA4" s="3"/>
      <c r="AB4" s="3"/>
      <c r="AC4" s="3"/>
      <c r="AD4" s="3"/>
      <c r="AE4" s="3"/>
      <c r="AF4" s="3"/>
      <c r="AG4" s="3"/>
      <c r="AH4" s="3"/>
      <c r="AI4" s="3"/>
      <c r="AJ4" s="3"/>
      <c r="AK4" s="3"/>
      <c r="AL4" s="3"/>
    </row>
    <row r="5" spans="1:38" ht="16" x14ac:dyDescent="0.2">
      <c r="A5" s="16" t="str">
        <f>A1</f>
        <v>Indicator 16a</v>
      </c>
      <c r="B5" s="3"/>
      <c r="C5" s="17" t="s">
        <v>62</v>
      </c>
      <c r="D5" s="17" t="s">
        <v>63</v>
      </c>
      <c r="E5" s="17" t="s">
        <v>64</v>
      </c>
      <c r="F5" s="17" t="s">
        <v>65</v>
      </c>
      <c r="G5" s="17" t="s">
        <v>62</v>
      </c>
      <c r="H5" s="17" t="s">
        <v>63</v>
      </c>
      <c r="I5" s="17" t="s">
        <v>64</v>
      </c>
      <c r="J5" s="17" t="s">
        <v>65</v>
      </c>
      <c r="K5" s="17" t="s">
        <v>62</v>
      </c>
      <c r="L5" s="17" t="s">
        <v>63</v>
      </c>
      <c r="M5" s="17" t="s">
        <v>64</v>
      </c>
      <c r="N5" s="17" t="s">
        <v>65</v>
      </c>
      <c r="O5" s="17" t="s">
        <v>62</v>
      </c>
      <c r="P5" s="17" t="s">
        <v>63</v>
      </c>
      <c r="Q5" s="17" t="s">
        <v>64</v>
      </c>
      <c r="R5" s="17" t="s">
        <v>65</v>
      </c>
      <c r="S5" s="17" t="s">
        <v>62</v>
      </c>
      <c r="T5" s="17" t="s">
        <v>63</v>
      </c>
      <c r="U5" s="17" t="s">
        <v>64</v>
      </c>
      <c r="V5" s="17" t="s">
        <v>65</v>
      </c>
      <c r="W5" s="17" t="s">
        <v>62</v>
      </c>
      <c r="X5" s="17" t="s">
        <v>63</v>
      </c>
      <c r="Y5" s="17" t="s">
        <v>64</v>
      </c>
      <c r="Z5" s="17" t="s">
        <v>65</v>
      </c>
      <c r="AA5" s="17" t="s">
        <v>62</v>
      </c>
      <c r="AB5" s="17" t="s">
        <v>63</v>
      </c>
      <c r="AC5" s="17" t="s">
        <v>64</v>
      </c>
      <c r="AD5" s="17" t="s">
        <v>65</v>
      </c>
      <c r="AE5" s="17" t="s">
        <v>62</v>
      </c>
      <c r="AF5" s="17" t="s">
        <v>63</v>
      </c>
      <c r="AG5" s="17" t="s">
        <v>64</v>
      </c>
      <c r="AH5" s="17" t="s">
        <v>65</v>
      </c>
      <c r="AI5" s="17" t="s">
        <v>62</v>
      </c>
      <c r="AJ5" s="17" t="s">
        <v>63</v>
      </c>
      <c r="AK5" s="17" t="s">
        <v>64</v>
      </c>
      <c r="AL5" s="17" t="s">
        <v>65</v>
      </c>
    </row>
    <row r="6" spans="1:38" ht="26" x14ac:dyDescent="0.2">
      <c r="A6" s="16"/>
      <c r="B6" s="3"/>
      <c r="C6" s="17" t="s">
        <v>385</v>
      </c>
      <c r="D6" s="17" t="s">
        <v>386</v>
      </c>
      <c r="E6" s="17" t="s">
        <v>387</v>
      </c>
      <c r="F6" s="17" t="s">
        <v>388</v>
      </c>
      <c r="G6" s="17" t="s">
        <v>66</v>
      </c>
      <c r="H6" s="17" t="s">
        <v>67</v>
      </c>
      <c r="I6" s="17" t="s">
        <v>68</v>
      </c>
      <c r="J6" s="17" t="s">
        <v>69</v>
      </c>
      <c r="K6" s="17" t="s">
        <v>70</v>
      </c>
      <c r="L6" s="17" t="s">
        <v>71</v>
      </c>
      <c r="M6" s="17" t="s">
        <v>72</v>
      </c>
      <c r="N6" s="17" t="s">
        <v>73</v>
      </c>
      <c r="O6" s="17" t="s">
        <v>74</v>
      </c>
      <c r="P6" s="17" t="s">
        <v>75</v>
      </c>
      <c r="Q6" s="17" t="s">
        <v>76</v>
      </c>
      <c r="R6" s="17" t="s">
        <v>77</v>
      </c>
      <c r="S6" s="58" t="s">
        <v>321</v>
      </c>
      <c r="T6" s="17" t="s">
        <v>322</v>
      </c>
      <c r="U6" s="17" t="s">
        <v>323</v>
      </c>
      <c r="V6" s="17" t="s">
        <v>324</v>
      </c>
      <c r="W6" s="58" t="s">
        <v>325</v>
      </c>
      <c r="X6" s="17" t="s">
        <v>326</v>
      </c>
      <c r="Y6" s="17" t="s">
        <v>327</v>
      </c>
      <c r="Z6" s="17" t="s">
        <v>328</v>
      </c>
      <c r="AA6" s="17" t="s">
        <v>329</v>
      </c>
      <c r="AB6" s="17" t="s">
        <v>330</v>
      </c>
      <c r="AC6" s="17" t="s">
        <v>331</v>
      </c>
      <c r="AD6" s="17" t="s">
        <v>332</v>
      </c>
      <c r="AE6" s="17" t="s">
        <v>333</v>
      </c>
      <c r="AF6" s="17" t="s">
        <v>334</v>
      </c>
      <c r="AG6" s="17" t="s">
        <v>335</v>
      </c>
      <c r="AH6" s="17" t="s">
        <v>336</v>
      </c>
      <c r="AI6" s="17" t="s">
        <v>337</v>
      </c>
      <c r="AJ6" s="17" t="s">
        <v>338</v>
      </c>
      <c r="AK6" s="17" t="s">
        <v>339</v>
      </c>
      <c r="AL6" s="17" t="s">
        <v>340</v>
      </c>
    </row>
    <row r="7" spans="1:38" ht="16" x14ac:dyDescent="0.2">
      <c r="A7" s="18" t="s">
        <v>262</v>
      </c>
      <c r="B7" s="3"/>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row>
    <row r="8" spans="1:38" ht="16" x14ac:dyDescent="0.2">
      <c r="A8" s="18" t="s">
        <v>263</v>
      </c>
      <c r="B8" s="3"/>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row>
    <row r="9" spans="1:38" ht="16" x14ac:dyDescent="0.2">
      <c r="A9" s="18" t="s">
        <v>97</v>
      </c>
      <c r="B9" s="3"/>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row>
    <row r="10" spans="1:38" ht="16" x14ac:dyDescent="0.2">
      <c r="A10" s="18" t="s">
        <v>264</v>
      </c>
      <c r="B10" s="3"/>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row>
    <row r="11" spans="1:38" ht="16" x14ac:dyDescent="0.2">
      <c r="A11" s="18" t="s">
        <v>265</v>
      </c>
      <c r="B11" s="3"/>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row>
    <row r="12" spans="1:38" ht="16" x14ac:dyDescent="0.2">
      <c r="A12" s="18" t="s">
        <v>266</v>
      </c>
      <c r="B12" s="3"/>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row>
    <row r="13" spans="1:38" ht="16" x14ac:dyDescent="0.2">
      <c r="A13" s="18" t="s">
        <v>267</v>
      </c>
      <c r="B13" s="3"/>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row>
    <row r="14" spans="1:38" ht="16" x14ac:dyDescent="0.2">
      <c r="A14" s="18" t="s">
        <v>268</v>
      </c>
      <c r="B14" s="3"/>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row>
    <row r="15" spans="1:38" ht="16" x14ac:dyDescent="0.2">
      <c r="A15" s="18" t="s">
        <v>269</v>
      </c>
      <c r="B15" s="3"/>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row>
    <row r="16" spans="1:38" ht="16" x14ac:dyDescent="0.2">
      <c r="A16" s="18" t="s">
        <v>110</v>
      </c>
      <c r="B16" s="3"/>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row>
    <row r="17" spans="1:38" ht="16" x14ac:dyDescent="0.2">
      <c r="A17" s="18" t="s">
        <v>219</v>
      </c>
      <c r="B17" s="3"/>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row>
    <row r="18" spans="1:38" ht="18" customHeight="1" thickBot="1" x14ac:dyDescent="0.25">
      <c r="A18" s="22" t="s">
        <v>111</v>
      </c>
      <c r="B18" s="3"/>
      <c r="C18" s="40">
        <f t="shared" ref="C18:R18" si="0">SUM(C7:C17)</f>
        <v>0</v>
      </c>
      <c r="D18" s="40">
        <f t="shared" si="0"/>
        <v>0</v>
      </c>
      <c r="E18" s="40">
        <f t="shared" si="0"/>
        <v>0</v>
      </c>
      <c r="F18" s="40">
        <f t="shared" si="0"/>
        <v>0</v>
      </c>
      <c r="G18" s="40">
        <f t="shared" si="0"/>
        <v>0</v>
      </c>
      <c r="H18" s="40">
        <f t="shared" si="0"/>
        <v>0</v>
      </c>
      <c r="I18" s="40">
        <f t="shared" si="0"/>
        <v>0</v>
      </c>
      <c r="J18" s="40">
        <f t="shared" si="0"/>
        <v>0</v>
      </c>
      <c r="K18" s="40">
        <f t="shared" si="0"/>
        <v>0</v>
      </c>
      <c r="L18" s="40">
        <f t="shared" si="0"/>
        <v>0</v>
      </c>
      <c r="M18" s="40">
        <f t="shared" si="0"/>
        <v>0</v>
      </c>
      <c r="N18" s="40">
        <f t="shared" si="0"/>
        <v>0</v>
      </c>
      <c r="O18" s="40">
        <f t="shared" si="0"/>
        <v>0</v>
      </c>
      <c r="P18" s="40">
        <f t="shared" si="0"/>
        <v>0</v>
      </c>
      <c r="Q18" s="40">
        <f t="shared" si="0"/>
        <v>0</v>
      </c>
      <c r="R18" s="40">
        <f t="shared" si="0"/>
        <v>0</v>
      </c>
      <c r="S18" s="40">
        <f t="shared" ref="S18:AH18" si="1">SUM(S7:S17)</f>
        <v>0</v>
      </c>
      <c r="T18" s="40">
        <f t="shared" si="1"/>
        <v>0</v>
      </c>
      <c r="U18" s="40">
        <f t="shared" si="1"/>
        <v>0</v>
      </c>
      <c r="V18" s="40">
        <f t="shared" si="1"/>
        <v>0</v>
      </c>
      <c r="W18" s="40">
        <f t="shared" si="1"/>
        <v>0</v>
      </c>
      <c r="X18" s="40">
        <f t="shared" si="1"/>
        <v>0</v>
      </c>
      <c r="Y18" s="40">
        <f t="shared" si="1"/>
        <v>0</v>
      </c>
      <c r="Z18" s="40">
        <f t="shared" si="1"/>
        <v>0</v>
      </c>
      <c r="AA18" s="40">
        <f t="shared" si="1"/>
        <v>0</v>
      </c>
      <c r="AB18" s="40">
        <f t="shared" si="1"/>
        <v>0</v>
      </c>
      <c r="AC18" s="40">
        <f t="shared" si="1"/>
        <v>0</v>
      </c>
      <c r="AD18" s="40">
        <f t="shared" si="1"/>
        <v>0</v>
      </c>
      <c r="AE18" s="40">
        <f t="shared" si="1"/>
        <v>0</v>
      </c>
      <c r="AF18" s="40">
        <f t="shared" si="1"/>
        <v>0</v>
      </c>
      <c r="AG18" s="40">
        <f t="shared" si="1"/>
        <v>0</v>
      </c>
      <c r="AH18" s="40">
        <f t="shared" si="1"/>
        <v>0</v>
      </c>
      <c r="AI18" s="40"/>
      <c r="AJ18" s="40"/>
      <c r="AK18" s="40"/>
      <c r="AL18" s="40"/>
    </row>
    <row r="19" spans="1:38" ht="17.25" customHeight="1" thickTop="1" x14ac:dyDescent="0.2">
      <c r="A19" s="24"/>
      <c r="B19" s="3"/>
      <c r="C19" s="25"/>
      <c r="D19" s="25"/>
      <c r="E19" s="25"/>
      <c r="F19" s="25"/>
      <c r="G19" s="25"/>
      <c r="H19" s="25"/>
      <c r="I19" s="25"/>
      <c r="J19" s="25"/>
      <c r="K19" s="25"/>
      <c r="L19" s="25"/>
      <c r="M19" s="25"/>
      <c r="N19" s="25"/>
      <c r="O19" s="25"/>
      <c r="P19" s="25"/>
      <c r="Q19" s="25"/>
      <c r="R19" s="25"/>
      <c r="S19" s="3"/>
      <c r="T19" s="3"/>
      <c r="U19" s="3"/>
      <c r="V19" s="3"/>
      <c r="W19" s="3"/>
      <c r="X19" s="3"/>
      <c r="Y19" s="3"/>
      <c r="Z19" s="3"/>
      <c r="AA19" s="3"/>
      <c r="AB19" s="3"/>
      <c r="AC19" s="3"/>
      <c r="AD19" s="3"/>
      <c r="AE19" s="3"/>
      <c r="AF19" s="3"/>
      <c r="AG19" s="3"/>
      <c r="AH19" s="3"/>
      <c r="AI19" s="3"/>
      <c r="AJ19" s="3"/>
      <c r="AK19" s="3"/>
      <c r="AL19" s="3"/>
    </row>
    <row r="20" spans="1:38" ht="17.25" customHeight="1" x14ac:dyDescent="0.2">
      <c r="A20" s="16" t="str">
        <f>A2</f>
        <v>Indicator 16b</v>
      </c>
      <c r="B20" s="3"/>
      <c r="C20" s="17" t="s">
        <v>62</v>
      </c>
      <c r="D20" s="17" t="s">
        <v>63</v>
      </c>
      <c r="E20" s="17" t="s">
        <v>64</v>
      </c>
      <c r="F20" s="17" t="s">
        <v>65</v>
      </c>
      <c r="G20" s="17" t="s">
        <v>62</v>
      </c>
      <c r="H20" s="17" t="s">
        <v>63</v>
      </c>
      <c r="I20" s="17" t="s">
        <v>64</v>
      </c>
      <c r="J20" s="17" t="s">
        <v>65</v>
      </c>
      <c r="K20" s="17" t="s">
        <v>62</v>
      </c>
      <c r="L20" s="17" t="s">
        <v>63</v>
      </c>
      <c r="M20" s="17" t="s">
        <v>64</v>
      </c>
      <c r="N20" s="17" t="s">
        <v>65</v>
      </c>
      <c r="O20" s="17" t="s">
        <v>62</v>
      </c>
      <c r="P20" s="17" t="s">
        <v>63</v>
      </c>
      <c r="Q20" s="17" t="s">
        <v>64</v>
      </c>
      <c r="R20" s="17" t="s">
        <v>65</v>
      </c>
      <c r="S20" s="17" t="s">
        <v>62</v>
      </c>
      <c r="T20" s="17" t="s">
        <v>63</v>
      </c>
      <c r="U20" s="17" t="s">
        <v>64</v>
      </c>
      <c r="V20" s="17" t="s">
        <v>65</v>
      </c>
      <c r="W20" s="17" t="s">
        <v>62</v>
      </c>
      <c r="X20" s="17" t="s">
        <v>63</v>
      </c>
      <c r="Y20" s="17" t="s">
        <v>64</v>
      </c>
      <c r="Z20" s="17" t="s">
        <v>65</v>
      </c>
      <c r="AA20" s="17" t="s">
        <v>62</v>
      </c>
      <c r="AB20" s="17" t="s">
        <v>63</v>
      </c>
      <c r="AC20" s="17" t="s">
        <v>64</v>
      </c>
      <c r="AD20" s="17" t="s">
        <v>65</v>
      </c>
      <c r="AE20" s="17" t="s">
        <v>62</v>
      </c>
      <c r="AF20" s="17" t="s">
        <v>63</v>
      </c>
      <c r="AG20" s="17" t="s">
        <v>64</v>
      </c>
      <c r="AH20" s="17" t="s">
        <v>65</v>
      </c>
      <c r="AI20" s="17" t="s">
        <v>62</v>
      </c>
      <c r="AJ20" s="17" t="s">
        <v>63</v>
      </c>
      <c r="AK20" s="17" t="s">
        <v>64</v>
      </c>
      <c r="AL20" s="17" t="s">
        <v>65</v>
      </c>
    </row>
    <row r="21" spans="1:38" ht="17.25" customHeight="1" x14ac:dyDescent="0.2">
      <c r="A21" s="16"/>
      <c r="B21" s="3"/>
      <c r="C21" s="17" t="s">
        <v>385</v>
      </c>
      <c r="D21" s="17" t="s">
        <v>386</v>
      </c>
      <c r="E21" s="17" t="s">
        <v>387</v>
      </c>
      <c r="F21" s="17" t="s">
        <v>388</v>
      </c>
      <c r="G21" s="17" t="s">
        <v>66</v>
      </c>
      <c r="H21" s="17" t="s">
        <v>67</v>
      </c>
      <c r="I21" s="17" t="s">
        <v>68</v>
      </c>
      <c r="J21" s="17" t="s">
        <v>69</v>
      </c>
      <c r="K21" s="17" t="s">
        <v>70</v>
      </c>
      <c r="L21" s="17" t="s">
        <v>71</v>
      </c>
      <c r="M21" s="17" t="s">
        <v>72</v>
      </c>
      <c r="N21" s="17" t="s">
        <v>73</v>
      </c>
      <c r="O21" s="17" t="s">
        <v>74</v>
      </c>
      <c r="P21" s="17" t="s">
        <v>75</v>
      </c>
      <c r="Q21" s="17" t="s">
        <v>76</v>
      </c>
      <c r="R21" s="17" t="s">
        <v>77</v>
      </c>
      <c r="S21" s="58" t="s">
        <v>321</v>
      </c>
      <c r="T21" s="17" t="s">
        <v>322</v>
      </c>
      <c r="U21" s="17" t="s">
        <v>323</v>
      </c>
      <c r="V21" s="17" t="s">
        <v>324</v>
      </c>
      <c r="W21" s="58" t="s">
        <v>325</v>
      </c>
      <c r="X21" s="17" t="s">
        <v>326</v>
      </c>
      <c r="Y21" s="17" t="s">
        <v>327</v>
      </c>
      <c r="Z21" s="17" t="s">
        <v>328</v>
      </c>
      <c r="AA21" s="17" t="s">
        <v>329</v>
      </c>
      <c r="AB21" s="17" t="s">
        <v>330</v>
      </c>
      <c r="AC21" s="17" t="s">
        <v>331</v>
      </c>
      <c r="AD21" s="17" t="s">
        <v>332</v>
      </c>
      <c r="AE21" s="17" t="s">
        <v>333</v>
      </c>
      <c r="AF21" s="17" t="s">
        <v>334</v>
      </c>
      <c r="AG21" s="17" t="s">
        <v>335</v>
      </c>
      <c r="AH21" s="17" t="s">
        <v>336</v>
      </c>
      <c r="AI21" s="17" t="s">
        <v>337</v>
      </c>
      <c r="AJ21" s="17" t="s">
        <v>338</v>
      </c>
      <c r="AK21" s="17" t="s">
        <v>339</v>
      </c>
      <c r="AL21" s="17" t="s">
        <v>340</v>
      </c>
    </row>
    <row r="22" spans="1:38" ht="17.25" customHeight="1" x14ac:dyDescent="0.2">
      <c r="A22" s="18" t="s">
        <v>262</v>
      </c>
      <c r="B22" s="3"/>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row>
    <row r="23" spans="1:38" ht="17.25" customHeight="1" x14ac:dyDescent="0.2">
      <c r="A23" s="18" t="s">
        <v>263</v>
      </c>
      <c r="B23" s="3"/>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row>
    <row r="24" spans="1:38" ht="17.25" customHeight="1" x14ac:dyDescent="0.2">
      <c r="A24" s="18" t="s">
        <v>97</v>
      </c>
      <c r="B24" s="3"/>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row>
    <row r="25" spans="1:38" ht="17.25" customHeight="1" x14ac:dyDescent="0.2">
      <c r="A25" s="18" t="s">
        <v>264</v>
      </c>
      <c r="B25" s="3"/>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row>
    <row r="26" spans="1:38" ht="17.25" customHeight="1" x14ac:dyDescent="0.2">
      <c r="A26" s="18" t="s">
        <v>265</v>
      </c>
      <c r="B26" s="3"/>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row>
    <row r="27" spans="1:38" ht="17.25" customHeight="1" x14ac:dyDescent="0.2">
      <c r="A27" s="18" t="s">
        <v>266</v>
      </c>
      <c r="B27" s="3"/>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row>
    <row r="28" spans="1:38" ht="17.25" customHeight="1" x14ac:dyDescent="0.2">
      <c r="A28" s="18" t="s">
        <v>267</v>
      </c>
      <c r="B28" s="3"/>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row>
    <row r="29" spans="1:38" ht="17.25" customHeight="1" x14ac:dyDescent="0.2">
      <c r="A29" s="18" t="s">
        <v>268</v>
      </c>
      <c r="B29" s="3"/>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row>
    <row r="30" spans="1:38" ht="17.25" customHeight="1" x14ac:dyDescent="0.2">
      <c r="A30" s="18" t="s">
        <v>269</v>
      </c>
      <c r="B30" s="3"/>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row>
    <row r="31" spans="1:38" ht="17.25" customHeight="1" x14ac:dyDescent="0.2">
      <c r="A31" s="18" t="s">
        <v>110</v>
      </c>
      <c r="B31" s="3"/>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row>
    <row r="32" spans="1:38" ht="17.25" customHeight="1" x14ac:dyDescent="0.2">
      <c r="A32" s="18" t="s">
        <v>219</v>
      </c>
      <c r="B32" s="3"/>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row>
    <row r="33" spans="1:38" ht="17.25" customHeight="1" thickBot="1" x14ac:dyDescent="0.25">
      <c r="A33" s="22" t="s">
        <v>111</v>
      </c>
      <c r="B33" s="3"/>
      <c r="C33" s="40">
        <f t="shared" ref="C33:R33" si="2">SUM(C22:C32)</f>
        <v>0</v>
      </c>
      <c r="D33" s="40">
        <f t="shared" si="2"/>
        <v>0</v>
      </c>
      <c r="E33" s="40">
        <f t="shared" si="2"/>
        <v>0</v>
      </c>
      <c r="F33" s="40">
        <f t="shared" si="2"/>
        <v>0</v>
      </c>
      <c r="G33" s="40">
        <f t="shared" si="2"/>
        <v>0</v>
      </c>
      <c r="H33" s="40">
        <f t="shared" si="2"/>
        <v>0</v>
      </c>
      <c r="I33" s="40">
        <f t="shared" si="2"/>
        <v>0</v>
      </c>
      <c r="J33" s="40">
        <f t="shared" si="2"/>
        <v>0</v>
      </c>
      <c r="K33" s="40">
        <f t="shared" si="2"/>
        <v>0</v>
      </c>
      <c r="L33" s="40">
        <f t="shared" si="2"/>
        <v>0</v>
      </c>
      <c r="M33" s="40">
        <f t="shared" si="2"/>
        <v>0</v>
      </c>
      <c r="N33" s="40">
        <f t="shared" si="2"/>
        <v>0</v>
      </c>
      <c r="O33" s="40">
        <f t="shared" si="2"/>
        <v>0</v>
      </c>
      <c r="P33" s="40">
        <f t="shared" si="2"/>
        <v>0</v>
      </c>
      <c r="Q33" s="40">
        <f t="shared" si="2"/>
        <v>0</v>
      </c>
      <c r="R33" s="40">
        <f t="shared" si="2"/>
        <v>0</v>
      </c>
      <c r="S33" s="40">
        <f t="shared" ref="S33:AH33" si="3">SUM(S22:S32)</f>
        <v>0</v>
      </c>
      <c r="T33" s="40">
        <f t="shared" si="3"/>
        <v>0</v>
      </c>
      <c r="U33" s="40">
        <f t="shared" si="3"/>
        <v>0</v>
      </c>
      <c r="V33" s="40">
        <f t="shared" si="3"/>
        <v>0</v>
      </c>
      <c r="W33" s="40">
        <f t="shared" si="3"/>
        <v>0</v>
      </c>
      <c r="X33" s="40">
        <f t="shared" si="3"/>
        <v>0</v>
      </c>
      <c r="Y33" s="40">
        <f t="shared" si="3"/>
        <v>0</v>
      </c>
      <c r="Z33" s="40">
        <f t="shared" si="3"/>
        <v>0</v>
      </c>
      <c r="AA33" s="40">
        <f t="shared" si="3"/>
        <v>0</v>
      </c>
      <c r="AB33" s="40">
        <f t="shared" si="3"/>
        <v>0</v>
      </c>
      <c r="AC33" s="40">
        <f t="shared" si="3"/>
        <v>0</v>
      </c>
      <c r="AD33" s="40">
        <f t="shared" si="3"/>
        <v>0</v>
      </c>
      <c r="AE33" s="40">
        <f t="shared" si="3"/>
        <v>0</v>
      </c>
      <c r="AF33" s="40">
        <f t="shared" si="3"/>
        <v>0</v>
      </c>
      <c r="AG33" s="40">
        <f t="shared" si="3"/>
        <v>0</v>
      </c>
      <c r="AH33" s="40">
        <f t="shared" si="3"/>
        <v>0</v>
      </c>
      <c r="AI33" s="40"/>
      <c r="AJ33" s="40"/>
      <c r="AK33" s="40"/>
      <c r="AL33" s="40"/>
    </row>
    <row r="34" spans="1:38" ht="17.25" customHeight="1" thickTop="1" x14ac:dyDescent="0.2">
      <c r="A34" s="24"/>
      <c r="B34" s="3"/>
      <c r="C34" s="25"/>
      <c r="D34" s="25"/>
      <c r="E34" s="25"/>
      <c r="F34" s="25"/>
      <c r="G34" s="25"/>
      <c r="H34" s="25"/>
      <c r="I34" s="25"/>
      <c r="J34" s="25"/>
      <c r="K34" s="25"/>
      <c r="L34" s="25"/>
      <c r="M34" s="25"/>
      <c r="N34" s="25"/>
      <c r="O34" s="3"/>
      <c r="P34" s="3"/>
      <c r="Q34" s="3"/>
      <c r="R34" s="3"/>
      <c r="S34" s="3"/>
      <c r="T34" s="3"/>
      <c r="U34" s="3"/>
      <c r="V34" s="3"/>
      <c r="W34" s="3"/>
      <c r="X34" s="3"/>
      <c r="Y34" s="3"/>
      <c r="Z34" s="3"/>
      <c r="AA34" s="3"/>
      <c r="AB34" s="3"/>
      <c r="AC34" s="3"/>
      <c r="AD34" s="3"/>
      <c r="AE34" s="3"/>
      <c r="AF34" s="3"/>
      <c r="AG34" s="3"/>
      <c r="AH34" s="3"/>
      <c r="AI34" s="3"/>
      <c r="AJ34" s="3"/>
      <c r="AK34" s="3"/>
      <c r="AL34" s="3"/>
    </row>
    <row r="35" spans="1:38" ht="17.25" customHeight="1" x14ac:dyDescent="0.2">
      <c r="A35" s="15" t="s">
        <v>112</v>
      </c>
      <c r="B35" s="3"/>
      <c r="C35" s="26" t="s">
        <v>270</v>
      </c>
      <c r="D35" s="26"/>
      <c r="E35" s="26"/>
      <c r="F35" s="26"/>
      <c r="G35" s="26"/>
      <c r="H35" s="26"/>
      <c r="I35" s="26"/>
      <c r="J35" s="26"/>
      <c r="K35" s="26"/>
      <c r="L35" s="26"/>
      <c r="M35" s="26"/>
      <c r="N35" s="26"/>
      <c r="O35" s="26"/>
      <c r="P35" s="26"/>
      <c r="Q35" s="26"/>
      <c r="R35" s="26"/>
      <c r="S35" s="3"/>
      <c r="T35" s="3"/>
      <c r="U35" s="3"/>
      <c r="V35" s="3"/>
      <c r="W35" s="3"/>
      <c r="X35" s="3"/>
      <c r="Y35" s="3"/>
      <c r="Z35" s="3"/>
      <c r="AA35" s="3"/>
      <c r="AB35" s="3"/>
      <c r="AC35" s="3"/>
      <c r="AD35" s="3"/>
      <c r="AE35" s="3"/>
      <c r="AF35" s="3"/>
      <c r="AG35" s="3"/>
      <c r="AH35" s="3"/>
      <c r="AI35" s="3"/>
      <c r="AJ35" s="3"/>
      <c r="AK35" s="3"/>
      <c r="AL35" s="3"/>
    </row>
    <row r="36" spans="1:38" ht="15.75" customHeight="1" x14ac:dyDescent="0.2">
      <c r="A36" s="16" t="str">
        <f>(A1)</f>
        <v>Indicator 16a</v>
      </c>
      <c r="B36" s="3"/>
      <c r="C36" s="17" t="s">
        <v>62</v>
      </c>
      <c r="D36" s="17" t="s">
        <v>63</v>
      </c>
      <c r="E36" s="17" t="s">
        <v>64</v>
      </c>
      <c r="F36" s="17" t="s">
        <v>65</v>
      </c>
      <c r="G36" s="17" t="s">
        <v>62</v>
      </c>
      <c r="H36" s="17" t="s">
        <v>63</v>
      </c>
      <c r="I36" s="17" t="s">
        <v>64</v>
      </c>
      <c r="J36" s="17" t="s">
        <v>65</v>
      </c>
      <c r="K36" s="17" t="s">
        <v>62</v>
      </c>
      <c r="L36" s="17" t="s">
        <v>63</v>
      </c>
      <c r="M36" s="17" t="s">
        <v>64</v>
      </c>
      <c r="N36" s="17" t="s">
        <v>65</v>
      </c>
      <c r="O36" s="17" t="s">
        <v>62</v>
      </c>
      <c r="P36" s="17" t="s">
        <v>63</v>
      </c>
      <c r="Q36" s="17" t="s">
        <v>64</v>
      </c>
      <c r="R36" s="17" t="s">
        <v>65</v>
      </c>
      <c r="S36" s="17" t="s">
        <v>62</v>
      </c>
      <c r="T36" s="17" t="s">
        <v>63</v>
      </c>
      <c r="U36" s="17" t="s">
        <v>64</v>
      </c>
      <c r="V36" s="17" t="s">
        <v>65</v>
      </c>
      <c r="W36" s="17" t="s">
        <v>62</v>
      </c>
      <c r="X36" s="17" t="s">
        <v>63</v>
      </c>
      <c r="Y36" s="17" t="s">
        <v>64</v>
      </c>
      <c r="Z36" s="17" t="s">
        <v>65</v>
      </c>
      <c r="AA36" s="17" t="s">
        <v>62</v>
      </c>
      <c r="AB36" s="17" t="s">
        <v>63</v>
      </c>
      <c r="AC36" s="17" t="s">
        <v>64</v>
      </c>
      <c r="AD36" s="17" t="s">
        <v>65</v>
      </c>
      <c r="AE36" s="17" t="s">
        <v>62</v>
      </c>
      <c r="AF36" s="17" t="s">
        <v>63</v>
      </c>
      <c r="AG36" s="17" t="s">
        <v>64</v>
      </c>
      <c r="AH36" s="17" t="s">
        <v>65</v>
      </c>
      <c r="AI36" s="17" t="s">
        <v>62</v>
      </c>
      <c r="AJ36" s="17" t="s">
        <v>63</v>
      </c>
      <c r="AK36" s="17" t="s">
        <v>64</v>
      </c>
      <c r="AL36" s="17" t="s">
        <v>65</v>
      </c>
    </row>
    <row r="37" spans="1:38" ht="15.75" customHeight="1" x14ac:dyDescent="0.2">
      <c r="A37" s="27" t="s">
        <v>114</v>
      </c>
      <c r="B37" s="3"/>
      <c r="C37" s="17" t="s">
        <v>385</v>
      </c>
      <c r="D37" s="17" t="s">
        <v>386</v>
      </c>
      <c r="E37" s="17" t="s">
        <v>387</v>
      </c>
      <c r="F37" s="17" t="s">
        <v>388</v>
      </c>
      <c r="G37" s="17" t="s">
        <v>66</v>
      </c>
      <c r="H37" s="17" t="s">
        <v>67</v>
      </c>
      <c r="I37" s="17" t="s">
        <v>68</v>
      </c>
      <c r="J37" s="17" t="s">
        <v>69</v>
      </c>
      <c r="K37" s="17" t="s">
        <v>70</v>
      </c>
      <c r="L37" s="17" t="s">
        <v>71</v>
      </c>
      <c r="M37" s="17" t="s">
        <v>72</v>
      </c>
      <c r="N37" s="17" t="s">
        <v>73</v>
      </c>
      <c r="O37" s="17" t="s">
        <v>74</v>
      </c>
      <c r="P37" s="17" t="s">
        <v>75</v>
      </c>
      <c r="Q37" s="17" t="s">
        <v>76</v>
      </c>
      <c r="R37" s="17" t="s">
        <v>77</v>
      </c>
      <c r="S37" s="58" t="s">
        <v>321</v>
      </c>
      <c r="T37" s="17" t="s">
        <v>322</v>
      </c>
      <c r="U37" s="17" t="s">
        <v>323</v>
      </c>
      <c r="V37" s="17" t="s">
        <v>324</v>
      </c>
      <c r="W37" s="58" t="s">
        <v>325</v>
      </c>
      <c r="X37" s="17" t="s">
        <v>326</v>
      </c>
      <c r="Y37" s="17" t="s">
        <v>327</v>
      </c>
      <c r="Z37" s="17" t="s">
        <v>328</v>
      </c>
      <c r="AA37" s="17" t="s">
        <v>329</v>
      </c>
      <c r="AB37" s="17" t="s">
        <v>330</v>
      </c>
      <c r="AC37" s="17" t="s">
        <v>331</v>
      </c>
      <c r="AD37" s="17" t="s">
        <v>332</v>
      </c>
      <c r="AE37" s="17" t="s">
        <v>333</v>
      </c>
      <c r="AF37" s="17" t="s">
        <v>334</v>
      </c>
      <c r="AG37" s="17" t="s">
        <v>335</v>
      </c>
      <c r="AH37" s="17" t="s">
        <v>336</v>
      </c>
      <c r="AI37" s="17" t="s">
        <v>337</v>
      </c>
      <c r="AJ37" s="17" t="s">
        <v>338</v>
      </c>
      <c r="AK37" s="17" t="s">
        <v>339</v>
      </c>
      <c r="AL37" s="17" t="s">
        <v>340</v>
      </c>
    </row>
    <row r="38" spans="1:38" ht="15.75" customHeight="1" x14ac:dyDescent="0.2">
      <c r="A38" s="19"/>
      <c r="B38" s="3"/>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row>
    <row r="39" spans="1:38" ht="15.75" customHeight="1" x14ac:dyDescent="0.2">
      <c r="A39" s="19"/>
      <c r="B39" s="3"/>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row>
    <row r="40" spans="1:38" ht="15.75" customHeight="1" x14ac:dyDescent="0.2">
      <c r="A40" s="19"/>
      <c r="B40" s="3"/>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row>
    <row r="41" spans="1:38" ht="15.75" customHeight="1" x14ac:dyDescent="0.2">
      <c r="A41" s="19"/>
      <c r="B41" s="3"/>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row>
    <row r="42" spans="1:38" ht="15.75" customHeight="1" x14ac:dyDescent="0.2">
      <c r="A42" s="19"/>
      <c r="B42" s="3"/>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row>
    <row r="43" spans="1:38" ht="15.75" customHeight="1" x14ac:dyDescent="0.2">
      <c r="A43" s="16" t="str">
        <f>A2</f>
        <v>Indicator 16b</v>
      </c>
      <c r="B43" s="3"/>
      <c r="C43" s="17" t="s">
        <v>62</v>
      </c>
      <c r="D43" s="17" t="s">
        <v>63</v>
      </c>
      <c r="E43" s="17" t="s">
        <v>64</v>
      </c>
      <c r="F43" s="17" t="s">
        <v>65</v>
      </c>
      <c r="G43" s="17" t="s">
        <v>62</v>
      </c>
      <c r="H43" s="17" t="s">
        <v>63</v>
      </c>
      <c r="I43" s="17" t="s">
        <v>64</v>
      </c>
      <c r="J43" s="17" t="s">
        <v>65</v>
      </c>
      <c r="K43" s="17" t="s">
        <v>62</v>
      </c>
      <c r="L43" s="17" t="s">
        <v>63</v>
      </c>
      <c r="M43" s="17" t="s">
        <v>64</v>
      </c>
      <c r="N43" s="17" t="s">
        <v>65</v>
      </c>
      <c r="O43" s="17" t="s">
        <v>62</v>
      </c>
      <c r="P43" s="17" t="s">
        <v>63</v>
      </c>
      <c r="Q43" s="17" t="s">
        <v>64</v>
      </c>
      <c r="R43" s="17" t="s">
        <v>65</v>
      </c>
      <c r="S43" s="17" t="s">
        <v>62</v>
      </c>
      <c r="T43" s="17" t="s">
        <v>63</v>
      </c>
      <c r="U43" s="17" t="s">
        <v>64</v>
      </c>
      <c r="V43" s="17" t="s">
        <v>65</v>
      </c>
      <c r="W43" s="17" t="s">
        <v>62</v>
      </c>
      <c r="X43" s="17" t="s">
        <v>63</v>
      </c>
      <c r="Y43" s="17" t="s">
        <v>64</v>
      </c>
      <c r="Z43" s="17" t="s">
        <v>65</v>
      </c>
      <c r="AA43" s="17" t="s">
        <v>62</v>
      </c>
      <c r="AB43" s="17" t="s">
        <v>63</v>
      </c>
      <c r="AC43" s="17" t="s">
        <v>64</v>
      </c>
      <c r="AD43" s="17" t="s">
        <v>65</v>
      </c>
      <c r="AE43" s="17" t="s">
        <v>62</v>
      </c>
      <c r="AF43" s="17" t="s">
        <v>63</v>
      </c>
      <c r="AG43" s="17" t="s">
        <v>64</v>
      </c>
      <c r="AH43" s="17" t="s">
        <v>65</v>
      </c>
      <c r="AI43" s="17" t="s">
        <v>62</v>
      </c>
      <c r="AJ43" s="17" t="s">
        <v>63</v>
      </c>
      <c r="AK43" s="17" t="s">
        <v>64</v>
      </c>
      <c r="AL43" s="17" t="s">
        <v>65</v>
      </c>
    </row>
    <row r="44" spans="1:38" ht="15.75" customHeight="1" x14ac:dyDescent="0.2">
      <c r="A44" s="27" t="s">
        <v>114</v>
      </c>
      <c r="B44" s="3"/>
      <c r="C44" s="17" t="s">
        <v>385</v>
      </c>
      <c r="D44" s="17" t="s">
        <v>386</v>
      </c>
      <c r="E44" s="17" t="s">
        <v>387</v>
      </c>
      <c r="F44" s="17" t="s">
        <v>388</v>
      </c>
      <c r="G44" s="17" t="s">
        <v>66</v>
      </c>
      <c r="H44" s="17" t="s">
        <v>67</v>
      </c>
      <c r="I44" s="17" t="s">
        <v>68</v>
      </c>
      <c r="J44" s="17" t="s">
        <v>69</v>
      </c>
      <c r="K44" s="17" t="s">
        <v>70</v>
      </c>
      <c r="L44" s="17" t="s">
        <v>71</v>
      </c>
      <c r="M44" s="17" t="s">
        <v>72</v>
      </c>
      <c r="N44" s="17" t="s">
        <v>73</v>
      </c>
      <c r="O44" s="17" t="s">
        <v>74</v>
      </c>
      <c r="P44" s="17" t="s">
        <v>75</v>
      </c>
      <c r="Q44" s="17" t="s">
        <v>76</v>
      </c>
      <c r="R44" s="17" t="s">
        <v>77</v>
      </c>
      <c r="S44" s="58" t="s">
        <v>321</v>
      </c>
      <c r="T44" s="17" t="s">
        <v>322</v>
      </c>
      <c r="U44" s="17" t="s">
        <v>323</v>
      </c>
      <c r="V44" s="17" t="s">
        <v>324</v>
      </c>
      <c r="W44" s="58" t="s">
        <v>325</v>
      </c>
      <c r="X44" s="17" t="s">
        <v>326</v>
      </c>
      <c r="Y44" s="17" t="s">
        <v>327</v>
      </c>
      <c r="Z44" s="17" t="s">
        <v>328</v>
      </c>
      <c r="AA44" s="17" t="s">
        <v>329</v>
      </c>
      <c r="AB44" s="17" t="s">
        <v>330</v>
      </c>
      <c r="AC44" s="17" t="s">
        <v>331</v>
      </c>
      <c r="AD44" s="17" t="s">
        <v>332</v>
      </c>
      <c r="AE44" s="17" t="s">
        <v>333</v>
      </c>
      <c r="AF44" s="17" t="s">
        <v>334</v>
      </c>
      <c r="AG44" s="17" t="s">
        <v>335</v>
      </c>
      <c r="AH44" s="17" t="s">
        <v>336</v>
      </c>
      <c r="AI44" s="17" t="s">
        <v>337</v>
      </c>
      <c r="AJ44" s="17" t="s">
        <v>338</v>
      </c>
      <c r="AK44" s="17" t="s">
        <v>339</v>
      </c>
      <c r="AL44" s="17" t="s">
        <v>340</v>
      </c>
    </row>
    <row r="45" spans="1:38" ht="15.75" customHeight="1" x14ac:dyDescent="0.2">
      <c r="A45" s="19"/>
      <c r="B45" s="3"/>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row>
    <row r="46" spans="1:38" ht="15.75" customHeight="1" x14ac:dyDescent="0.2">
      <c r="A46" s="19"/>
      <c r="B46" s="3"/>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row>
    <row r="47" spans="1:38" ht="15.75" customHeight="1" x14ac:dyDescent="0.2">
      <c r="A47" s="19"/>
      <c r="B47" s="3"/>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row>
    <row r="48" spans="1:38" ht="15.75" customHeight="1" x14ac:dyDescent="0.2">
      <c r="A48" s="19"/>
      <c r="B48" s="3"/>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row>
    <row r="49" spans="1:38" ht="15.75" customHeight="1" x14ac:dyDescent="0.2">
      <c r="A49" s="19"/>
      <c r="B49" s="3"/>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row>
    <row r="50" spans="1:38"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row>
    <row r="51" spans="1:38" ht="15.75" customHeight="1" x14ac:dyDescent="0.2">
      <c r="A51" s="15" t="s">
        <v>115</v>
      </c>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row>
    <row r="52" spans="1:38" ht="111.75" customHeight="1" x14ac:dyDescent="0.2">
      <c r="A52" s="4" t="s">
        <v>116</v>
      </c>
      <c r="B52" s="3"/>
      <c r="C52" s="85"/>
      <c r="D52" s="86"/>
      <c r="E52" s="86"/>
      <c r="F52" s="86"/>
      <c r="G52" s="86"/>
      <c r="H52" s="86"/>
      <c r="I52" s="86"/>
      <c r="J52" s="86"/>
      <c r="K52" s="86"/>
      <c r="L52" s="86"/>
      <c r="M52" s="86"/>
      <c r="N52" s="86"/>
      <c r="O52" s="86"/>
      <c r="P52" s="86"/>
      <c r="Q52" s="86"/>
      <c r="R52" s="86"/>
      <c r="S52" s="86"/>
      <c r="T52" s="87"/>
      <c r="U52" s="3"/>
      <c r="V52" s="3"/>
      <c r="W52" s="3"/>
      <c r="X52" s="3"/>
      <c r="Y52" s="3"/>
      <c r="Z52" s="3"/>
      <c r="AA52" s="3"/>
      <c r="AB52" s="3"/>
      <c r="AC52" s="3"/>
      <c r="AD52" s="3"/>
      <c r="AE52" s="3"/>
      <c r="AF52" s="3"/>
      <c r="AG52" s="3"/>
      <c r="AH52" s="3"/>
      <c r="AI52" s="3"/>
      <c r="AJ52" s="3"/>
      <c r="AK52" s="3"/>
      <c r="AL52" s="3"/>
    </row>
    <row r="53" spans="1:38" ht="31.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row>
    <row r="54" spans="1:38" ht="31.5" customHeight="1" x14ac:dyDescent="0.2">
      <c r="A54" s="61" t="s">
        <v>366</v>
      </c>
      <c r="B54" s="3"/>
      <c r="C54" s="3" t="b">
        <f>AND(EXACT(C18,'2-3 INQUIRIES'!C7))</f>
        <v>0</v>
      </c>
      <c r="D54" s="3" t="b">
        <f>AND(EXACT(D18,'2-3 INQUIRIES'!D7))</f>
        <v>0</v>
      </c>
      <c r="E54" s="3" t="b">
        <f>AND(EXACT(E18,'2-3 INQUIRIES'!E7))</f>
        <v>0</v>
      </c>
      <c r="F54" s="3" t="b">
        <f>AND(EXACT(F18,'2-3 INQUIRIES'!F7))</f>
        <v>0</v>
      </c>
      <c r="G54" s="3" t="b">
        <f>AND(EXACT(G18,'2-3 INQUIRIES'!G7))</f>
        <v>0</v>
      </c>
      <c r="H54" s="3" t="b">
        <f>AND(EXACT(H18,'2-3 INQUIRIES'!H7))</f>
        <v>0</v>
      </c>
      <c r="I54" s="3" t="b">
        <f>AND(EXACT(I18,'2-3 INQUIRIES'!I7))</f>
        <v>0</v>
      </c>
      <c r="J54" s="3" t="b">
        <f>AND(EXACT(J18,'2-3 INQUIRIES'!J7))</f>
        <v>0</v>
      </c>
      <c r="K54" s="3" t="b">
        <f>AND(EXACT(K18,'2-3 INQUIRIES'!K7))</f>
        <v>0</v>
      </c>
      <c r="L54" s="3" t="b">
        <f>AND(EXACT(L18,'2-3 INQUIRIES'!L7))</f>
        <v>0</v>
      </c>
      <c r="M54" s="3" t="b">
        <f>AND(EXACT(M18,'2-3 INQUIRIES'!M7))</f>
        <v>0</v>
      </c>
      <c r="N54" s="3" t="b">
        <f>AND(EXACT(N18,'2-3 INQUIRIES'!N7))</f>
        <v>0</v>
      </c>
      <c r="O54" s="3" t="b">
        <f>AND(EXACT(O18,'2-3 INQUIRIES'!O7))</f>
        <v>0</v>
      </c>
      <c r="P54" s="3" t="b">
        <f>AND(EXACT(P18,'2-3 INQUIRIES'!P7))</f>
        <v>0</v>
      </c>
      <c r="Q54" s="3" t="b">
        <f>AND(EXACT(Q18,'2-3 INQUIRIES'!Q7))</f>
        <v>0</v>
      </c>
      <c r="R54" s="3" t="b">
        <f>AND(EXACT(R18,'2-3 INQUIRIES'!R7))</f>
        <v>0</v>
      </c>
      <c r="S54" s="3" t="b">
        <f>AND(EXACT(S18,'2-3 INQUIRIES'!S7))</f>
        <v>0</v>
      </c>
      <c r="T54" s="3" t="b">
        <f>AND(EXACT(T18,'2-3 INQUIRIES'!T7))</f>
        <v>0</v>
      </c>
      <c r="U54" s="3" t="b">
        <f>AND(EXACT(U18,'2-3 INQUIRIES'!U7))</f>
        <v>0</v>
      </c>
      <c r="V54" s="3" t="b">
        <f>AND(EXACT(V18,'2-3 INQUIRIES'!V7))</f>
        <v>0</v>
      </c>
      <c r="W54" s="3" t="b">
        <f>AND(EXACT(W18,'2-3 INQUIRIES'!W7))</f>
        <v>0</v>
      </c>
      <c r="X54" s="3" t="b">
        <f>AND(EXACT(X18,'2-3 INQUIRIES'!X7))</f>
        <v>0</v>
      </c>
      <c r="Y54" s="3" t="b">
        <f>AND(EXACT(Y18,'2-3 INQUIRIES'!Y7))</f>
        <v>0</v>
      </c>
      <c r="Z54" s="3" t="b">
        <f>AND(EXACT(Z18,'2-3 INQUIRIES'!Z7))</f>
        <v>0</v>
      </c>
      <c r="AA54" s="3" t="b">
        <f>AND(EXACT(AA18,'2-3 INQUIRIES'!AA7))</f>
        <v>0</v>
      </c>
      <c r="AB54" s="3" t="b">
        <f>AND(EXACT(AB18,'2-3 INQUIRIES'!AB7))</f>
        <v>0</v>
      </c>
      <c r="AC54" s="3" t="b">
        <f>AND(EXACT(AC18,'2-3 INQUIRIES'!AC7))</f>
        <v>0</v>
      </c>
      <c r="AD54" s="3" t="b">
        <f>AND(EXACT(AD18,'2-3 INQUIRIES'!AD7))</f>
        <v>0</v>
      </c>
      <c r="AE54" s="3" t="b">
        <f>AND(EXACT(AE18,'2-3 INQUIRIES'!AE7))</f>
        <v>0</v>
      </c>
      <c r="AF54" s="3" t="b">
        <f>AND(EXACT(AF18,'2-3 INQUIRIES'!AF7))</f>
        <v>0</v>
      </c>
      <c r="AG54" s="3" t="b">
        <f>AND(EXACT(AG18,'2-3 INQUIRIES'!AG7))</f>
        <v>0</v>
      </c>
      <c r="AH54" s="3" t="b">
        <f>AND(EXACT(AH18,'2-3 INQUIRIES'!AH7))</f>
        <v>0</v>
      </c>
      <c r="AI54" s="3" t="b">
        <f>AND(EXACT(AI18,'2-3 INQUIRIES'!AI7))</f>
        <v>1</v>
      </c>
      <c r="AJ54" s="3" t="b">
        <f>AND(EXACT(AJ18,'2-3 INQUIRIES'!AJ7))</f>
        <v>1</v>
      </c>
      <c r="AK54" s="3" t="b">
        <f>AND(EXACT(AK18,'2-3 INQUIRIES'!AK7))</f>
        <v>1</v>
      </c>
      <c r="AL54" s="3" t="b">
        <f>AND(EXACT(AL18,'2-3 INQUIRIES'!AL7))</f>
        <v>1</v>
      </c>
    </row>
    <row r="55" spans="1:38" ht="31.5" customHeight="1" x14ac:dyDescent="0.2">
      <c r="A55" s="61" t="s">
        <v>367</v>
      </c>
      <c r="B55" s="3"/>
      <c r="C55" s="3" t="b">
        <f>AND(EXACT(C33,'2-3 INQUIRIES'!C11))</f>
        <v>0</v>
      </c>
      <c r="D55" s="3" t="b">
        <f>AND(EXACT(D33,'2-3 INQUIRIES'!D11))</f>
        <v>0</v>
      </c>
      <c r="E55" s="3" t="b">
        <f>AND(EXACT(E33,'2-3 INQUIRIES'!E11))</f>
        <v>0</v>
      </c>
      <c r="F55" s="3" t="b">
        <f>AND(EXACT(F33,'2-3 INQUIRIES'!F11))</f>
        <v>0</v>
      </c>
      <c r="G55" s="3" t="b">
        <f>AND(EXACT(G33,'2-3 INQUIRIES'!G11))</f>
        <v>0</v>
      </c>
      <c r="H55" s="3" t="b">
        <f>AND(EXACT(H33,'2-3 INQUIRIES'!H11))</f>
        <v>0</v>
      </c>
      <c r="I55" s="3" t="b">
        <f>AND(EXACT(I33,'2-3 INQUIRIES'!I11))</f>
        <v>0</v>
      </c>
      <c r="J55" s="3" t="b">
        <f>AND(EXACT(J33,'2-3 INQUIRIES'!J11))</f>
        <v>0</v>
      </c>
      <c r="K55" s="3" t="b">
        <f>AND(EXACT(K33,'2-3 INQUIRIES'!K11))</f>
        <v>0</v>
      </c>
      <c r="L55" s="3" t="b">
        <f>AND(EXACT(L33,'2-3 INQUIRIES'!L11))</f>
        <v>0</v>
      </c>
      <c r="M55" s="3" t="b">
        <f>AND(EXACT(M33,'2-3 INQUIRIES'!M11))</f>
        <v>0</v>
      </c>
      <c r="N55" s="3" t="b">
        <f>AND(EXACT(N33,'2-3 INQUIRIES'!N11))</f>
        <v>0</v>
      </c>
      <c r="O55" s="3" t="b">
        <f>AND(EXACT(O33,'2-3 INQUIRIES'!O11))</f>
        <v>0</v>
      </c>
      <c r="P55" s="3" t="b">
        <f>AND(EXACT(P33,'2-3 INQUIRIES'!P11))</f>
        <v>0</v>
      </c>
      <c r="Q55" s="3" t="b">
        <f>AND(EXACT(Q33,'2-3 INQUIRIES'!Q11))</f>
        <v>0</v>
      </c>
      <c r="R55" s="3" t="b">
        <f>AND(EXACT(R33,'2-3 INQUIRIES'!R11))</f>
        <v>0</v>
      </c>
      <c r="S55" s="3" t="b">
        <f>AND(EXACT(S33,'2-3 INQUIRIES'!S11))</f>
        <v>0</v>
      </c>
      <c r="T55" s="3" t="b">
        <f>AND(EXACT(T33,'2-3 INQUIRIES'!T11))</f>
        <v>0</v>
      </c>
      <c r="U55" s="3" t="b">
        <f>AND(EXACT(U33,'2-3 INQUIRIES'!U11))</f>
        <v>0</v>
      </c>
      <c r="V55" s="3" t="b">
        <f>AND(EXACT(V33,'2-3 INQUIRIES'!V11))</f>
        <v>0</v>
      </c>
      <c r="W55" s="3" t="b">
        <f>AND(EXACT(W33,'2-3 INQUIRIES'!W11))</f>
        <v>0</v>
      </c>
      <c r="X55" s="3" t="b">
        <f>AND(EXACT(X33,'2-3 INQUIRIES'!X11))</f>
        <v>0</v>
      </c>
      <c r="Y55" s="3" t="b">
        <f>AND(EXACT(Y33,'2-3 INQUIRIES'!Y11))</f>
        <v>0</v>
      </c>
      <c r="Z55" s="3" t="b">
        <f>AND(EXACT(Z33,'2-3 INQUIRIES'!Z11))</f>
        <v>0</v>
      </c>
      <c r="AA55" s="3" t="b">
        <f>AND(EXACT(AA33,'2-3 INQUIRIES'!AA11))</f>
        <v>0</v>
      </c>
      <c r="AB55" s="3" t="b">
        <f>AND(EXACT(AB33,'2-3 INQUIRIES'!AB11))</f>
        <v>0</v>
      </c>
      <c r="AC55" s="3" t="b">
        <f>AND(EXACT(AC33,'2-3 INQUIRIES'!AC11))</f>
        <v>0</v>
      </c>
      <c r="AD55" s="3" t="b">
        <f>AND(EXACT(AD33,'2-3 INQUIRIES'!AD11))</f>
        <v>0</v>
      </c>
      <c r="AE55" s="3" t="b">
        <f>AND(EXACT(AE33,'2-3 INQUIRIES'!AE11))</f>
        <v>0</v>
      </c>
      <c r="AF55" s="3" t="b">
        <f>AND(EXACT(AF33,'2-3 INQUIRIES'!AF11))</f>
        <v>0</v>
      </c>
      <c r="AG55" s="3" t="b">
        <f>AND(EXACT(AG33,'2-3 INQUIRIES'!AG11))</f>
        <v>0</v>
      </c>
      <c r="AH55" s="3" t="b">
        <f>AND(EXACT(AH33,'2-3 INQUIRIES'!AH11))</f>
        <v>0</v>
      </c>
      <c r="AI55" s="3" t="b">
        <f>AND(EXACT(AI33,'2-3 INQUIRIES'!AI11))</f>
        <v>1</v>
      </c>
      <c r="AJ55" s="3" t="b">
        <f>AND(EXACT(AJ33,'2-3 INQUIRIES'!AJ11))</f>
        <v>1</v>
      </c>
      <c r="AK55" s="3" t="b">
        <f>AND(EXACT(AK33,'2-3 INQUIRIES'!AK11))</f>
        <v>1</v>
      </c>
      <c r="AL55" s="3" t="b">
        <f>AND(EXACT(AL33,'2-3 INQUIRIES'!AL11))</f>
        <v>1</v>
      </c>
    </row>
    <row r="56" spans="1:38" ht="31.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row>
    <row r="57" spans="1:38" ht="31.5" customHeight="1" x14ac:dyDescent="0.2">
      <c r="A57" s="15" t="s">
        <v>320</v>
      </c>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row>
    <row r="58" spans="1:38" ht="409"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row>
    <row r="59" spans="1:38" ht="201" customHeight="1" x14ac:dyDescent="0.2">
      <c r="A59" s="29"/>
      <c r="B59" s="29"/>
      <c r="C59" s="29"/>
      <c r="D59" s="29"/>
      <c r="E59" s="29"/>
      <c r="F59" s="29"/>
      <c r="G59" s="29"/>
      <c r="H59" s="29"/>
      <c r="I59" s="29"/>
      <c r="J59" s="29"/>
      <c r="K59" s="29"/>
      <c r="L59" s="29"/>
      <c r="M59" s="29"/>
      <c r="N59" s="29"/>
      <c r="O59" s="29"/>
      <c r="P59" s="29"/>
      <c r="Q59" s="29"/>
      <c r="R59" s="29"/>
      <c r="S59" s="29"/>
      <c r="T59" s="29"/>
      <c r="U59" s="3"/>
      <c r="V59" s="3"/>
      <c r="W59" s="3"/>
      <c r="X59" s="3"/>
      <c r="Y59" s="3"/>
      <c r="Z59" s="3"/>
      <c r="AA59" s="3"/>
      <c r="AB59" s="3"/>
      <c r="AC59" s="3"/>
      <c r="AD59" s="3"/>
      <c r="AE59" s="3"/>
      <c r="AF59" s="3"/>
      <c r="AG59" s="3"/>
      <c r="AH59" s="3"/>
      <c r="AI59" s="3"/>
      <c r="AJ59" s="3"/>
      <c r="AK59" s="3"/>
      <c r="AL59" s="3"/>
    </row>
    <row r="60" spans="1:38" ht="17.25" customHeight="1" x14ac:dyDescent="0.2">
      <c r="A60" s="15" t="s">
        <v>117</v>
      </c>
      <c r="B60" s="3"/>
      <c r="C60" s="25"/>
      <c r="D60" s="25"/>
      <c r="E60" s="25"/>
      <c r="F60" s="25"/>
      <c r="G60" s="25"/>
      <c r="H60" s="25"/>
      <c r="I60" s="25"/>
      <c r="J60" s="25"/>
      <c r="K60" s="25"/>
      <c r="L60" s="25"/>
      <c r="M60" s="25"/>
      <c r="N60" s="25"/>
      <c r="O60" s="3"/>
      <c r="P60" s="3"/>
      <c r="Q60" s="3"/>
      <c r="R60" s="3"/>
      <c r="S60" s="3"/>
      <c r="T60" s="3"/>
      <c r="U60" s="3"/>
      <c r="V60" s="3"/>
      <c r="W60" s="3"/>
      <c r="X60" s="3"/>
      <c r="Y60" s="3"/>
      <c r="Z60" s="3"/>
      <c r="AA60" s="3"/>
      <c r="AB60" s="3"/>
      <c r="AC60" s="3"/>
      <c r="AD60" s="3"/>
      <c r="AE60" s="3"/>
      <c r="AF60" s="3"/>
      <c r="AG60" s="3"/>
      <c r="AH60" s="3"/>
      <c r="AI60" s="3"/>
      <c r="AJ60" s="3"/>
      <c r="AK60" s="3"/>
      <c r="AL60" s="3"/>
    </row>
    <row r="61" spans="1:38" ht="15.75" customHeight="1" x14ac:dyDescent="0.2">
      <c r="A61" s="31" t="str">
        <f>(A1&amp;" - "&amp;A2)</f>
        <v>Indicator 16a - Indicator 16b</v>
      </c>
      <c r="B61" s="3"/>
      <c r="C61" s="82" t="s">
        <v>271</v>
      </c>
      <c r="D61" s="83"/>
      <c r="E61" s="83"/>
      <c r="F61" s="83"/>
      <c r="G61" s="83"/>
      <c r="H61" s="83"/>
      <c r="I61" s="83"/>
      <c r="J61" s="83"/>
      <c r="K61" s="83"/>
      <c r="L61" s="83"/>
      <c r="M61" s="83"/>
      <c r="N61" s="83"/>
      <c r="O61" s="3"/>
      <c r="P61" s="3"/>
      <c r="Q61" s="3"/>
      <c r="R61" s="3"/>
      <c r="S61" s="3"/>
      <c r="T61" s="3"/>
      <c r="U61" s="3"/>
      <c r="V61" s="3"/>
      <c r="W61" s="3"/>
      <c r="X61" s="3"/>
      <c r="Y61" s="3"/>
      <c r="Z61" s="3"/>
      <c r="AA61" s="3"/>
      <c r="AB61" s="3"/>
      <c r="AC61" s="3"/>
      <c r="AD61" s="3"/>
      <c r="AE61" s="3"/>
      <c r="AF61" s="3"/>
      <c r="AG61" s="3"/>
      <c r="AH61" s="3"/>
      <c r="AI61" s="3"/>
      <c r="AJ61" s="3"/>
      <c r="AK61" s="3"/>
      <c r="AL61" s="3"/>
    </row>
    <row r="62" spans="1:38" ht="15.75" customHeight="1" x14ac:dyDescent="0.2">
      <c r="A62" s="3"/>
      <c r="B62" s="3"/>
      <c r="C62" s="32"/>
      <c r="D62" s="32"/>
      <c r="E62" s="32"/>
      <c r="F62" s="32"/>
      <c r="G62" s="32"/>
      <c r="H62" s="32"/>
      <c r="I62" s="32"/>
      <c r="J62" s="32"/>
      <c r="K62" s="32"/>
      <c r="L62" s="32"/>
      <c r="M62" s="32"/>
      <c r="N62" s="32"/>
      <c r="O62" s="3"/>
      <c r="P62" s="3"/>
      <c r="Q62" s="3"/>
      <c r="R62" s="3"/>
      <c r="S62" s="3"/>
      <c r="T62" s="3"/>
      <c r="U62" s="3"/>
      <c r="V62" s="3"/>
      <c r="W62" s="3"/>
      <c r="X62" s="3"/>
      <c r="Y62" s="3"/>
      <c r="Z62" s="3"/>
      <c r="AA62" s="3"/>
      <c r="AB62" s="3"/>
      <c r="AC62" s="3"/>
      <c r="AD62" s="3"/>
      <c r="AE62" s="3"/>
      <c r="AF62" s="3"/>
      <c r="AG62" s="3"/>
      <c r="AH62" s="3"/>
      <c r="AI62" s="3"/>
      <c r="AJ62" s="3"/>
      <c r="AK62" s="3"/>
      <c r="AL62" s="3"/>
    </row>
    <row r="63" spans="1:38" ht="17.25" customHeight="1" x14ac:dyDescent="0.2">
      <c r="A63" s="15" t="s">
        <v>119</v>
      </c>
      <c r="B63" s="3"/>
      <c r="C63" s="32"/>
      <c r="D63" s="32"/>
      <c r="E63" s="32"/>
      <c r="F63" s="32"/>
      <c r="G63" s="32"/>
      <c r="H63" s="32"/>
      <c r="I63" s="32"/>
      <c r="J63" s="32"/>
      <c r="K63" s="32"/>
      <c r="L63" s="32"/>
      <c r="M63" s="32"/>
      <c r="N63" s="32"/>
      <c r="O63" s="3"/>
      <c r="P63" s="3"/>
      <c r="Q63" s="3"/>
      <c r="R63" s="3"/>
      <c r="S63" s="3"/>
      <c r="T63" s="3"/>
      <c r="U63" s="3"/>
      <c r="V63" s="3"/>
      <c r="W63" s="3"/>
      <c r="X63" s="3"/>
      <c r="Y63" s="3"/>
      <c r="Z63" s="3"/>
      <c r="AA63" s="3"/>
      <c r="AB63" s="3"/>
      <c r="AC63" s="3"/>
      <c r="AD63" s="3"/>
      <c r="AE63" s="3"/>
      <c r="AF63" s="3"/>
      <c r="AG63" s="3"/>
      <c r="AH63" s="3"/>
      <c r="AI63" s="3"/>
      <c r="AJ63" s="3"/>
      <c r="AK63" s="3"/>
      <c r="AL63" s="3"/>
    </row>
    <row r="64" spans="1:38" ht="15.75" customHeight="1" x14ac:dyDescent="0.2">
      <c r="A64" s="31"/>
      <c r="B64" s="3"/>
      <c r="C64" s="82"/>
      <c r="D64" s="83"/>
      <c r="E64" s="83"/>
      <c r="F64" s="83"/>
      <c r="G64" s="83"/>
      <c r="H64" s="83"/>
      <c r="I64" s="83"/>
      <c r="J64" s="83"/>
      <c r="K64" s="83"/>
      <c r="L64" s="83"/>
      <c r="M64" s="83"/>
      <c r="N64" s="83"/>
      <c r="O64" s="3"/>
      <c r="P64" s="3"/>
      <c r="Q64" s="3"/>
      <c r="R64" s="3"/>
      <c r="S64" s="3"/>
      <c r="T64" s="3"/>
      <c r="U64" s="3"/>
      <c r="V64" s="3"/>
      <c r="W64" s="3"/>
      <c r="X64" s="3"/>
      <c r="Y64" s="3"/>
      <c r="Z64" s="3"/>
      <c r="AA64" s="3"/>
      <c r="AB64" s="3"/>
      <c r="AC64" s="3"/>
      <c r="AD64" s="3"/>
      <c r="AE64" s="3"/>
      <c r="AF64" s="3"/>
      <c r="AG64" s="3"/>
      <c r="AH64" s="3"/>
      <c r="AI64" s="3"/>
      <c r="AJ64" s="3"/>
      <c r="AK64" s="3"/>
      <c r="AL64" s="3"/>
    </row>
    <row r="65" spans="1:38" ht="15.75" customHeight="1" x14ac:dyDescent="0.2">
      <c r="A65" s="3"/>
      <c r="B65" s="3"/>
      <c r="C65" s="32"/>
      <c r="D65" s="32"/>
      <c r="E65" s="32"/>
      <c r="F65" s="32"/>
      <c r="G65" s="32"/>
      <c r="H65" s="32"/>
      <c r="I65" s="32"/>
      <c r="J65" s="32"/>
      <c r="K65" s="32"/>
      <c r="L65" s="32"/>
      <c r="M65" s="32"/>
      <c r="N65" s="32"/>
      <c r="O65" s="3"/>
      <c r="P65" s="3"/>
      <c r="Q65" s="3"/>
      <c r="R65" s="3"/>
      <c r="S65" s="3"/>
      <c r="T65" s="3"/>
      <c r="U65" s="3"/>
      <c r="V65" s="3"/>
      <c r="W65" s="3"/>
      <c r="X65" s="3"/>
      <c r="Y65" s="3"/>
      <c r="Z65" s="3"/>
      <c r="AA65" s="3"/>
      <c r="AB65" s="3"/>
      <c r="AC65" s="3"/>
      <c r="AD65" s="3"/>
      <c r="AE65" s="3"/>
      <c r="AF65" s="3"/>
      <c r="AG65" s="3"/>
      <c r="AH65" s="3"/>
      <c r="AI65" s="3"/>
      <c r="AJ65" s="3"/>
      <c r="AK65" s="3"/>
      <c r="AL65" s="3"/>
    </row>
    <row r="66" spans="1:38" ht="15.75" customHeight="1" x14ac:dyDescent="0.2">
      <c r="A66" s="15" t="s">
        <v>142</v>
      </c>
      <c r="B66" s="3"/>
      <c r="C66" s="32"/>
      <c r="D66" s="32"/>
      <c r="E66" s="32"/>
      <c r="F66" s="32"/>
      <c r="G66" s="32"/>
      <c r="H66" s="32"/>
      <c r="I66" s="32"/>
      <c r="J66" s="32"/>
      <c r="K66" s="32"/>
      <c r="L66" s="32"/>
      <c r="M66" s="32"/>
      <c r="N66" s="32"/>
      <c r="O66" s="3"/>
      <c r="P66" s="3"/>
      <c r="Q66" s="3"/>
      <c r="R66" s="3"/>
      <c r="S66" s="3"/>
      <c r="T66" s="3"/>
      <c r="U66" s="3"/>
      <c r="V66" s="3"/>
      <c r="W66" s="3"/>
      <c r="X66" s="3"/>
      <c r="Y66" s="3"/>
      <c r="Z66" s="3"/>
      <c r="AA66" s="3"/>
      <c r="AB66" s="3"/>
      <c r="AC66" s="3"/>
      <c r="AD66" s="3"/>
      <c r="AE66" s="3"/>
      <c r="AF66" s="3"/>
      <c r="AG66" s="3"/>
      <c r="AH66" s="3"/>
      <c r="AI66" s="3"/>
      <c r="AJ66" s="3"/>
      <c r="AK66" s="3"/>
      <c r="AL66" s="3"/>
    </row>
    <row r="67" spans="1:38" ht="15.75" customHeight="1" x14ac:dyDescent="0.2">
      <c r="A67" s="38" t="str">
        <f>(A1&amp;" - "&amp;A2)</f>
        <v>Indicator 16a - Indicator 16b</v>
      </c>
      <c r="B67" s="3"/>
      <c r="C67" s="82" t="s">
        <v>143</v>
      </c>
      <c r="D67" s="83"/>
      <c r="E67" s="83"/>
      <c r="F67" s="83"/>
      <c r="G67" s="83"/>
      <c r="H67" s="83"/>
      <c r="I67" s="83"/>
      <c r="J67" s="83"/>
      <c r="K67" s="83"/>
      <c r="L67" s="83"/>
      <c r="M67" s="83"/>
      <c r="N67" s="83"/>
      <c r="O67" s="3"/>
      <c r="P67" s="3"/>
      <c r="Q67" s="3"/>
      <c r="R67" s="3"/>
      <c r="S67" s="3"/>
      <c r="T67" s="3"/>
      <c r="U67" s="3"/>
      <c r="V67" s="3"/>
      <c r="W67" s="3"/>
      <c r="X67" s="3"/>
      <c r="Y67" s="3"/>
      <c r="Z67" s="3"/>
      <c r="AA67" s="3"/>
      <c r="AB67" s="3"/>
      <c r="AC67" s="3"/>
      <c r="AD67" s="3"/>
      <c r="AE67" s="3"/>
      <c r="AF67" s="3"/>
      <c r="AG67" s="3"/>
      <c r="AH67" s="3"/>
      <c r="AI67" s="3"/>
      <c r="AJ67" s="3"/>
      <c r="AK67" s="3"/>
      <c r="AL67" s="3"/>
    </row>
    <row r="68" spans="1:38" ht="15.75" customHeight="1" x14ac:dyDescent="0.2">
      <c r="A68" s="3"/>
      <c r="B68" s="3"/>
      <c r="C68" s="32"/>
      <c r="D68" s="32"/>
      <c r="E68" s="32"/>
      <c r="F68" s="32"/>
      <c r="G68" s="32"/>
      <c r="H68" s="32"/>
      <c r="I68" s="32"/>
      <c r="J68" s="32"/>
      <c r="K68" s="32"/>
      <c r="L68" s="32"/>
      <c r="M68" s="32"/>
      <c r="N68" s="32"/>
      <c r="O68" s="3"/>
      <c r="P68" s="3"/>
      <c r="Q68" s="3"/>
      <c r="R68" s="3"/>
      <c r="S68" s="3"/>
      <c r="T68" s="3"/>
      <c r="U68" s="3"/>
      <c r="V68" s="3"/>
      <c r="W68" s="3"/>
      <c r="X68" s="3"/>
      <c r="Y68" s="3"/>
      <c r="Z68" s="3"/>
      <c r="AA68" s="3"/>
      <c r="AB68" s="3"/>
      <c r="AC68" s="3"/>
      <c r="AD68" s="3"/>
      <c r="AE68" s="3"/>
      <c r="AF68" s="3"/>
      <c r="AG68" s="3"/>
      <c r="AH68" s="3"/>
      <c r="AI68" s="3"/>
      <c r="AJ68" s="3"/>
      <c r="AK68" s="3"/>
      <c r="AL68" s="3"/>
    </row>
    <row r="69" spans="1:38" ht="15.75" customHeight="1" x14ac:dyDescent="0.2">
      <c r="A69" s="15" t="s">
        <v>144</v>
      </c>
      <c r="B69" s="3"/>
      <c r="C69" s="32"/>
      <c r="D69" s="32"/>
      <c r="E69" s="32"/>
      <c r="F69" s="32"/>
      <c r="G69" s="32"/>
      <c r="H69" s="32"/>
      <c r="I69" s="32"/>
      <c r="J69" s="32"/>
      <c r="K69" s="32"/>
      <c r="L69" s="32"/>
      <c r="M69" s="32"/>
      <c r="N69" s="32"/>
      <c r="O69" s="3"/>
      <c r="P69" s="3"/>
      <c r="Q69" s="3"/>
      <c r="R69" s="3"/>
      <c r="S69" s="3"/>
      <c r="T69" s="3"/>
      <c r="U69" s="3"/>
      <c r="V69" s="3"/>
      <c r="W69" s="3"/>
      <c r="X69" s="3"/>
      <c r="Y69" s="3"/>
      <c r="Z69" s="3"/>
      <c r="AA69" s="3"/>
      <c r="AB69" s="3"/>
      <c r="AC69" s="3"/>
      <c r="AD69" s="3"/>
      <c r="AE69" s="3"/>
      <c r="AF69" s="3"/>
      <c r="AG69" s="3"/>
      <c r="AH69" s="3"/>
      <c r="AI69" s="3"/>
      <c r="AJ69" s="3"/>
      <c r="AK69" s="3"/>
      <c r="AL69" s="3"/>
    </row>
    <row r="70" spans="1:38" ht="31.5" customHeight="1" x14ac:dyDescent="0.2">
      <c r="A70" s="31" t="str">
        <f>(A1&amp;" - "&amp;A2)</f>
        <v>Indicator 16a - Indicator 16b</v>
      </c>
      <c r="B70" s="3"/>
      <c r="C70" s="82" t="s">
        <v>257</v>
      </c>
      <c r="D70" s="83"/>
      <c r="E70" s="83"/>
      <c r="F70" s="83"/>
      <c r="G70" s="83"/>
      <c r="H70" s="83"/>
      <c r="I70" s="83"/>
      <c r="J70" s="83"/>
      <c r="K70" s="83"/>
      <c r="L70" s="83"/>
      <c r="M70" s="83"/>
      <c r="N70" s="83"/>
      <c r="O70" s="36"/>
      <c r="P70" s="36"/>
      <c r="Q70" s="36"/>
      <c r="R70" s="36"/>
      <c r="S70" s="36"/>
      <c r="T70" s="36"/>
      <c r="U70" s="36"/>
      <c r="V70" s="36"/>
      <c r="W70" s="36"/>
      <c r="X70" s="36"/>
      <c r="Y70" s="36"/>
      <c r="Z70" s="36"/>
      <c r="AA70" s="36"/>
      <c r="AB70" s="36"/>
      <c r="AC70" s="36"/>
      <c r="AD70" s="36"/>
      <c r="AE70" s="36"/>
      <c r="AF70" s="36"/>
      <c r="AG70" s="36"/>
      <c r="AH70" s="36"/>
      <c r="AI70" s="36"/>
      <c r="AJ70" s="36"/>
      <c r="AK70" s="36"/>
      <c r="AL70" s="36"/>
    </row>
    <row r="71" spans="1:38" ht="15" customHeight="1" x14ac:dyDescent="0.2">
      <c r="A71" s="3"/>
      <c r="B71" s="3"/>
      <c r="C71" s="32"/>
      <c r="D71" s="32"/>
      <c r="E71" s="32"/>
      <c r="F71" s="32"/>
      <c r="G71" s="32"/>
      <c r="H71" s="32"/>
      <c r="I71" s="32"/>
      <c r="J71" s="32"/>
      <c r="K71" s="32"/>
      <c r="L71" s="32"/>
      <c r="M71" s="32"/>
      <c r="N71" s="32"/>
      <c r="O71" s="3"/>
      <c r="P71" s="3"/>
      <c r="Q71" s="3"/>
      <c r="R71" s="3"/>
      <c r="S71" s="3"/>
      <c r="T71" s="3"/>
      <c r="U71" s="3"/>
      <c r="V71" s="3"/>
      <c r="W71" s="3"/>
      <c r="X71" s="3"/>
      <c r="Y71" s="3"/>
      <c r="Z71" s="3"/>
      <c r="AA71" s="3"/>
      <c r="AB71" s="3"/>
      <c r="AC71" s="3"/>
      <c r="AD71" s="3"/>
      <c r="AE71" s="3"/>
      <c r="AF71" s="3"/>
      <c r="AG71" s="3"/>
      <c r="AH71" s="3"/>
      <c r="AI71" s="3"/>
      <c r="AJ71" s="3"/>
      <c r="AK71" s="3"/>
      <c r="AL71" s="3"/>
    </row>
    <row r="72" spans="1:38" ht="15.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row>
    <row r="73" spans="1:38"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row>
    <row r="74" spans="1:38"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row>
    <row r="75" spans="1:38"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row>
    <row r="76" spans="1:38"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row>
    <row r="77" spans="1:38"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row>
    <row r="78" spans="1:38"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row>
    <row r="79" spans="1:38"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row>
    <row r="80" spans="1:38"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row>
    <row r="81" spans="1:38"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row>
    <row r="82" spans="1:38"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row>
    <row r="83" spans="1:38"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row>
    <row r="84" spans="1:38"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row>
    <row r="85" spans="1:38"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row>
    <row r="86" spans="1:38"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row>
    <row r="87" spans="1:38"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row>
    <row r="88" spans="1:38"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row>
    <row r="89" spans="1:38"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row>
    <row r="90" spans="1:38"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row>
    <row r="91" spans="1:38"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row>
    <row r="92" spans="1:38"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row>
    <row r="93" spans="1:38"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row>
    <row r="94" spans="1:38"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row>
    <row r="95" spans="1:38"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row>
    <row r="96" spans="1:38"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row>
    <row r="97" spans="1:38"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row>
    <row r="98" spans="1:38"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row>
    <row r="99" spans="1:38"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row>
    <row r="100" spans="1:38"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row>
    <row r="101" spans="1:38"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row>
    <row r="102" spans="1:38"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row>
    <row r="103" spans="1:38"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row>
    <row r="104" spans="1:38"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row>
    <row r="105" spans="1:38"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row>
    <row r="106" spans="1:38"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row>
    <row r="107" spans="1:38"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row>
    <row r="108" spans="1:38"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row>
    <row r="109" spans="1:38"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row>
    <row r="110" spans="1:38"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row>
    <row r="111" spans="1:38"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row>
    <row r="112" spans="1:38"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row>
    <row r="113" spans="1:38"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row>
    <row r="114" spans="1:38"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row>
    <row r="115" spans="1:38"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row>
    <row r="116" spans="1:38"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row>
    <row r="117" spans="1:38"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row>
    <row r="118" spans="1:38"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row>
    <row r="119" spans="1:38"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row>
    <row r="120" spans="1:38"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row>
    <row r="121" spans="1:38"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row>
    <row r="122" spans="1:38"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row>
    <row r="123" spans="1:38"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row>
    <row r="124" spans="1:38"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row>
    <row r="125" spans="1:38"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row>
    <row r="126" spans="1:38"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row>
    <row r="127" spans="1:38"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row>
    <row r="128" spans="1:38"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row>
    <row r="129" spans="1:38"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row>
    <row r="130" spans="1:38"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row>
    <row r="131" spans="1:38"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row>
    <row r="132" spans="1:38"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row>
    <row r="133" spans="1:38"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row>
    <row r="134" spans="1:38"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row>
    <row r="135" spans="1:38"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row>
    <row r="136" spans="1:38"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row>
    <row r="137" spans="1:38"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row>
    <row r="138" spans="1:38"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row>
    <row r="139" spans="1:38"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row>
    <row r="140" spans="1:38"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row>
    <row r="141" spans="1:38"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row>
    <row r="142" spans="1:38"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row>
    <row r="143" spans="1:38"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row>
    <row r="144" spans="1:38"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row>
    <row r="145" spans="1:38"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row>
    <row r="146" spans="1:38"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row>
    <row r="147" spans="1:38"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row>
    <row r="148" spans="1:38"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row>
    <row r="149" spans="1:38"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row>
    <row r="150" spans="1:38"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row>
    <row r="151" spans="1:38"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row>
    <row r="152" spans="1:38"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row>
    <row r="153" spans="1:38"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row>
    <row r="154" spans="1:38"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row>
    <row r="155" spans="1:38"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row>
    <row r="156" spans="1:38"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row>
    <row r="157" spans="1:38"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row>
    <row r="158" spans="1:38"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row>
    <row r="159" spans="1:38"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row>
    <row r="160" spans="1:38"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row>
    <row r="161" spans="1:38"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row>
    <row r="162" spans="1:38"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row>
    <row r="163" spans="1:38"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row>
    <row r="164" spans="1:38"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row>
    <row r="165" spans="1:38"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row>
    <row r="166" spans="1:38"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row>
    <row r="167" spans="1:38"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row>
    <row r="168" spans="1:38"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row>
    <row r="169" spans="1:38"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row>
    <row r="170" spans="1:38"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row>
    <row r="171" spans="1:38"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row>
    <row r="172" spans="1:38"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row>
    <row r="173" spans="1:38"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row>
    <row r="174" spans="1:38"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row>
    <row r="175" spans="1:38"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row>
    <row r="176" spans="1:38"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row>
    <row r="177" spans="1:38"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row>
    <row r="178" spans="1:38"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row>
    <row r="179" spans="1:38"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row>
    <row r="180" spans="1:38"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row>
    <row r="181" spans="1:38"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row>
    <row r="182" spans="1:38"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row>
    <row r="183" spans="1:38"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row>
    <row r="184" spans="1:38"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row>
    <row r="185" spans="1:38"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row>
    <row r="186" spans="1:38"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row>
    <row r="187" spans="1:38"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row>
    <row r="188" spans="1:38"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row>
    <row r="189" spans="1:38"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row>
    <row r="190" spans="1:38"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row>
    <row r="191" spans="1:38"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row>
    <row r="192" spans="1:38"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row>
    <row r="193" spans="1:38"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row>
    <row r="194" spans="1:38"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row>
    <row r="195" spans="1:38"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row>
    <row r="196" spans="1:38"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row>
    <row r="197" spans="1:38"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row>
    <row r="198" spans="1:38"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row>
    <row r="199" spans="1:38"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row>
    <row r="200" spans="1:38"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row>
    <row r="201" spans="1:38"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row>
    <row r="202" spans="1:38"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row>
    <row r="203" spans="1:38"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row>
    <row r="204" spans="1:38"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row>
    <row r="205" spans="1:38"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row>
    <row r="206" spans="1:38"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row>
    <row r="207" spans="1:38"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row>
    <row r="208" spans="1:38"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row>
    <row r="209" spans="1:38"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row>
    <row r="210" spans="1:38"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row>
    <row r="211" spans="1:38"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row>
    <row r="212" spans="1:38"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row>
    <row r="213" spans="1:38"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row>
    <row r="214" spans="1:38"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row>
    <row r="215" spans="1:38"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row>
    <row r="216" spans="1:38"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row>
    <row r="217" spans="1:38"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row>
    <row r="218" spans="1:38"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row>
    <row r="219" spans="1:38"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row>
    <row r="220" spans="1:38"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row>
    <row r="221" spans="1:38"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row>
    <row r="222" spans="1:38"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row>
    <row r="223" spans="1:38"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row>
    <row r="224" spans="1:38"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row>
    <row r="225" spans="1:38"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row>
    <row r="226" spans="1:38"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row>
    <row r="227" spans="1:38"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row>
    <row r="228" spans="1:38"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row>
    <row r="229" spans="1:38"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row>
    <row r="230" spans="1:38"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row>
    <row r="231" spans="1:38"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row>
    <row r="232" spans="1:38"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row>
    <row r="233" spans="1:38"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row>
    <row r="234" spans="1:38"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row>
    <row r="235" spans="1:38"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row>
    <row r="236" spans="1:38"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row>
    <row r="237" spans="1:38"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row>
    <row r="238" spans="1:38"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row>
    <row r="239" spans="1:38"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row>
    <row r="240" spans="1:38"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row>
    <row r="241" spans="1:38"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row>
    <row r="242" spans="1:38"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row>
    <row r="243" spans="1:38"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row>
    <row r="244" spans="1:38"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row>
    <row r="245" spans="1:38"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row>
    <row r="246" spans="1:38"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row>
    <row r="247" spans="1:38"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row>
    <row r="248" spans="1:38"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row>
    <row r="249" spans="1:38"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row>
    <row r="250" spans="1:38"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row>
    <row r="251" spans="1:38"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row>
    <row r="252" spans="1:38"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row>
    <row r="253" spans="1:38"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row>
    <row r="254" spans="1:38"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row>
    <row r="255" spans="1:38"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row>
    <row r="256" spans="1:38"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row>
    <row r="257" spans="1:38"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row>
    <row r="258" spans="1:38"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row>
    <row r="259" spans="1:38"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row>
    <row r="260" spans="1:38"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row>
    <row r="261" spans="1:38"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row>
    <row r="262" spans="1:38"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row>
    <row r="263" spans="1:38"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row>
    <row r="264" spans="1:38"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row>
    <row r="265" spans="1:38"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row>
    <row r="266" spans="1:38"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row>
    <row r="267" spans="1:38"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row>
    <row r="268" spans="1:38"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row>
    <row r="269" spans="1:38"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row>
    <row r="270" spans="1:38" ht="15.75" customHeight="1" x14ac:dyDescent="0.2"/>
    <row r="271" spans="1:38" ht="15.75" customHeight="1" x14ac:dyDescent="0.2"/>
    <row r="272" spans="1:38"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C52:T52"/>
    <mergeCell ref="C61:N61"/>
    <mergeCell ref="C64:N64"/>
    <mergeCell ref="C67:N67"/>
    <mergeCell ref="C70:N70"/>
  </mergeCells>
  <conditionalFormatting sqref="C54:AL55">
    <cfRule type="containsText" dxfId="3" priority="1" operator="containsText" text="TRUE">
      <formula>NOT(ISERROR(SEARCH("TRUE",C54)))</formula>
    </cfRule>
    <cfRule type="containsText" dxfId="2" priority="2" operator="containsText" text="FALSE">
      <formula>NOT(ISERROR(SEARCH("FALSE",C54)))</formula>
    </cfRule>
  </conditionalFormatting>
  <pageMargins left="0.7" right="0.7" top="0.75" bottom="0.75" header="0" footer="0"/>
  <pageSetup paperSize="9"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sheetPr>
  <dimension ref="A1:AL1001"/>
  <sheetViews>
    <sheetView showGridLines="0" zoomScale="120" zoomScaleNormal="120" workbookViewId="0">
      <selection activeCell="C22" sqref="C22:J32"/>
    </sheetView>
  </sheetViews>
  <sheetFormatPr baseColWidth="10" defaultColWidth="14.5" defaultRowHeight="15" customHeight="1" x14ac:dyDescent="0.2"/>
  <cols>
    <col min="1" max="1" width="51.6640625" customWidth="1"/>
    <col min="2" max="2" width="1.33203125" customWidth="1"/>
    <col min="3" max="27" width="9.1640625" customWidth="1"/>
    <col min="28" max="34" width="9.5" customWidth="1"/>
    <col min="35" max="35" width="10.6640625" bestFit="1" customWidth="1"/>
    <col min="36" max="36" width="11" bestFit="1" customWidth="1"/>
    <col min="37" max="37" width="10.6640625" bestFit="1" customWidth="1"/>
    <col min="38" max="38" width="11" bestFit="1" customWidth="1"/>
  </cols>
  <sheetData>
    <row r="1" spans="1:38" ht="31.5" customHeight="1" x14ac:dyDescent="0.2">
      <c r="A1" s="10" t="s">
        <v>272</v>
      </c>
      <c r="B1" s="10"/>
      <c r="C1" s="11" t="s">
        <v>273</v>
      </c>
      <c r="D1" s="10"/>
      <c r="E1" s="10"/>
      <c r="F1" s="10"/>
      <c r="G1" s="10"/>
      <c r="H1" s="10"/>
      <c r="I1" s="10"/>
      <c r="J1" s="10"/>
      <c r="K1" s="10"/>
      <c r="L1" s="10"/>
      <c r="M1" s="10"/>
      <c r="N1" s="10"/>
      <c r="O1" s="10"/>
      <c r="P1" s="10"/>
      <c r="Q1" s="10"/>
      <c r="R1" s="10"/>
      <c r="S1" s="10"/>
      <c r="T1" s="10"/>
      <c r="U1" s="3"/>
      <c r="V1" s="3"/>
      <c r="W1" s="3"/>
      <c r="X1" s="3"/>
      <c r="Y1" s="3"/>
      <c r="Z1" s="3"/>
      <c r="AA1" s="3"/>
      <c r="AB1" s="3"/>
      <c r="AC1" s="3"/>
      <c r="AD1" s="3"/>
      <c r="AE1" s="3"/>
      <c r="AF1" s="3"/>
      <c r="AG1" s="3"/>
      <c r="AH1" s="3"/>
      <c r="AI1" s="3"/>
      <c r="AJ1" s="3"/>
      <c r="AK1" s="3"/>
      <c r="AL1" s="3"/>
    </row>
    <row r="2" spans="1:38" ht="31.5" customHeight="1" x14ac:dyDescent="0.2">
      <c r="A2" s="10" t="s">
        <v>274</v>
      </c>
      <c r="B2" s="10"/>
      <c r="C2" s="11" t="s">
        <v>275</v>
      </c>
      <c r="D2" s="10"/>
      <c r="E2" s="10"/>
      <c r="F2" s="10"/>
      <c r="G2" s="10"/>
      <c r="H2" s="10"/>
      <c r="I2" s="10"/>
      <c r="J2" s="10"/>
      <c r="K2" s="10"/>
      <c r="L2" s="10"/>
      <c r="M2" s="10"/>
      <c r="N2" s="10"/>
      <c r="O2" s="10"/>
      <c r="P2" s="10"/>
      <c r="Q2" s="10"/>
      <c r="R2" s="10"/>
      <c r="S2" s="10"/>
      <c r="T2" s="10"/>
      <c r="U2" s="3"/>
      <c r="V2" s="3"/>
      <c r="W2" s="3"/>
      <c r="X2" s="3"/>
      <c r="Y2" s="3"/>
      <c r="Z2" s="3"/>
      <c r="AA2" s="3"/>
      <c r="AB2" s="3"/>
      <c r="AC2" s="3"/>
      <c r="AD2" s="3"/>
      <c r="AE2" s="3"/>
      <c r="AF2" s="3"/>
      <c r="AG2" s="3"/>
      <c r="AH2" s="3"/>
      <c r="AI2" s="3"/>
      <c r="AJ2" s="3"/>
      <c r="AK2" s="3"/>
      <c r="AL2" s="3"/>
    </row>
    <row r="3" spans="1:38" ht="31.5" customHeight="1" x14ac:dyDescent="0.25">
      <c r="A3" s="12"/>
      <c r="B3" s="3"/>
      <c r="C3" s="13"/>
      <c r="D3" s="14"/>
      <c r="E3" s="14"/>
      <c r="F3" s="14"/>
      <c r="G3" s="14"/>
      <c r="H3" s="14"/>
      <c r="I3" s="14"/>
      <c r="J3" s="14"/>
      <c r="K3" s="14"/>
      <c r="L3" s="14"/>
      <c r="M3" s="14"/>
      <c r="N3" s="14"/>
      <c r="O3" s="3"/>
      <c r="P3" s="3"/>
      <c r="Q3" s="3"/>
      <c r="R3" s="3"/>
      <c r="S3" s="3"/>
      <c r="T3" s="3"/>
      <c r="U3" s="3"/>
      <c r="V3" s="3"/>
      <c r="W3" s="3"/>
      <c r="X3" s="3"/>
      <c r="Y3" s="3"/>
      <c r="Z3" s="3"/>
      <c r="AA3" s="3"/>
      <c r="AB3" s="3"/>
      <c r="AC3" s="3"/>
      <c r="AD3" s="3"/>
      <c r="AE3" s="3"/>
      <c r="AF3" s="3"/>
      <c r="AG3" s="3"/>
      <c r="AH3" s="3"/>
      <c r="AI3" s="3"/>
      <c r="AJ3" s="3"/>
      <c r="AK3" s="3"/>
      <c r="AL3" s="3"/>
    </row>
    <row r="4" spans="1:38" ht="19" x14ac:dyDescent="0.25">
      <c r="A4" s="15" t="s">
        <v>61</v>
      </c>
      <c r="B4" s="3"/>
      <c r="C4" s="13"/>
      <c r="D4" s="14"/>
      <c r="E4" s="14"/>
      <c r="F4" s="14"/>
      <c r="G4" s="14"/>
      <c r="H4" s="14"/>
      <c r="I4" s="14"/>
      <c r="J4" s="14"/>
      <c r="K4" s="14"/>
      <c r="L4" s="14"/>
      <c r="M4" s="14"/>
      <c r="N4" s="14"/>
      <c r="O4" s="3"/>
      <c r="P4" s="3"/>
      <c r="Q4" s="3"/>
      <c r="R4" s="3"/>
      <c r="S4" s="3"/>
      <c r="T4" s="3"/>
      <c r="U4" s="3"/>
      <c r="V4" s="3"/>
      <c r="W4" s="3"/>
      <c r="X4" s="3"/>
      <c r="Y4" s="3"/>
      <c r="Z4" s="3"/>
      <c r="AA4" s="3"/>
      <c r="AB4" s="3"/>
      <c r="AC4" s="3"/>
      <c r="AD4" s="3"/>
      <c r="AE4" s="3"/>
      <c r="AF4" s="3"/>
      <c r="AG4" s="3"/>
      <c r="AH4" s="3"/>
      <c r="AI4" s="3"/>
      <c r="AJ4" s="3"/>
      <c r="AK4" s="3"/>
      <c r="AL4" s="3"/>
    </row>
    <row r="5" spans="1:38" ht="16" x14ac:dyDescent="0.2">
      <c r="A5" s="16" t="str">
        <f>A1</f>
        <v>Indicator 17a</v>
      </c>
      <c r="B5" s="3"/>
      <c r="C5" s="17" t="s">
        <v>62</v>
      </c>
      <c r="D5" s="17" t="s">
        <v>63</v>
      </c>
      <c r="E5" s="17" t="s">
        <v>64</v>
      </c>
      <c r="F5" s="17" t="s">
        <v>65</v>
      </c>
      <c r="G5" s="17" t="s">
        <v>62</v>
      </c>
      <c r="H5" s="17" t="s">
        <v>63</v>
      </c>
      <c r="I5" s="17" t="s">
        <v>64</v>
      </c>
      <c r="J5" s="17" t="s">
        <v>65</v>
      </c>
      <c r="K5" s="17" t="s">
        <v>62</v>
      </c>
      <c r="L5" s="17" t="s">
        <v>63</v>
      </c>
      <c r="M5" s="17" t="s">
        <v>64</v>
      </c>
      <c r="N5" s="17" t="s">
        <v>65</v>
      </c>
      <c r="O5" s="17" t="s">
        <v>62</v>
      </c>
      <c r="P5" s="17" t="s">
        <v>63</v>
      </c>
      <c r="Q5" s="17" t="s">
        <v>64</v>
      </c>
      <c r="R5" s="17" t="s">
        <v>65</v>
      </c>
      <c r="S5" s="17" t="s">
        <v>62</v>
      </c>
      <c r="T5" s="17" t="s">
        <v>63</v>
      </c>
      <c r="U5" s="17" t="s">
        <v>64</v>
      </c>
      <c r="V5" s="17" t="s">
        <v>65</v>
      </c>
      <c r="W5" s="17" t="s">
        <v>62</v>
      </c>
      <c r="X5" s="17" t="s">
        <v>63</v>
      </c>
      <c r="Y5" s="17" t="s">
        <v>64</v>
      </c>
      <c r="Z5" s="17" t="s">
        <v>65</v>
      </c>
      <c r="AA5" s="17" t="s">
        <v>62</v>
      </c>
      <c r="AB5" s="17" t="s">
        <v>63</v>
      </c>
      <c r="AC5" s="17" t="s">
        <v>64</v>
      </c>
      <c r="AD5" s="17" t="s">
        <v>65</v>
      </c>
      <c r="AE5" s="17" t="s">
        <v>62</v>
      </c>
      <c r="AF5" s="17" t="s">
        <v>63</v>
      </c>
      <c r="AG5" s="17" t="s">
        <v>64</v>
      </c>
      <c r="AH5" s="17" t="s">
        <v>65</v>
      </c>
      <c r="AI5" s="17" t="s">
        <v>62</v>
      </c>
      <c r="AJ5" s="17" t="s">
        <v>63</v>
      </c>
      <c r="AK5" s="17" t="s">
        <v>64</v>
      </c>
      <c r="AL5" s="17" t="s">
        <v>65</v>
      </c>
    </row>
    <row r="6" spans="1:38" ht="26" x14ac:dyDescent="0.2">
      <c r="A6" s="16"/>
      <c r="B6" s="3"/>
      <c r="C6" s="17" t="s">
        <v>385</v>
      </c>
      <c r="D6" s="17" t="s">
        <v>386</v>
      </c>
      <c r="E6" s="17" t="s">
        <v>387</v>
      </c>
      <c r="F6" s="17" t="s">
        <v>388</v>
      </c>
      <c r="G6" s="17" t="s">
        <v>66</v>
      </c>
      <c r="H6" s="17" t="s">
        <v>67</v>
      </c>
      <c r="I6" s="17" t="s">
        <v>68</v>
      </c>
      <c r="J6" s="17" t="s">
        <v>69</v>
      </c>
      <c r="K6" s="17" t="s">
        <v>70</v>
      </c>
      <c r="L6" s="17" t="s">
        <v>71</v>
      </c>
      <c r="M6" s="17" t="s">
        <v>72</v>
      </c>
      <c r="N6" s="17" t="s">
        <v>73</v>
      </c>
      <c r="O6" s="17" t="s">
        <v>74</v>
      </c>
      <c r="P6" s="17" t="s">
        <v>75</v>
      </c>
      <c r="Q6" s="17" t="s">
        <v>76</v>
      </c>
      <c r="R6" s="17" t="s">
        <v>77</v>
      </c>
      <c r="S6" s="58" t="s">
        <v>321</v>
      </c>
      <c r="T6" s="17" t="s">
        <v>322</v>
      </c>
      <c r="U6" s="17" t="s">
        <v>323</v>
      </c>
      <c r="V6" s="17" t="s">
        <v>324</v>
      </c>
      <c r="W6" s="58" t="s">
        <v>325</v>
      </c>
      <c r="X6" s="17" t="s">
        <v>326</v>
      </c>
      <c r="Y6" s="17" t="s">
        <v>327</v>
      </c>
      <c r="Z6" s="17" t="s">
        <v>328</v>
      </c>
      <c r="AA6" s="17" t="s">
        <v>329</v>
      </c>
      <c r="AB6" s="17" t="s">
        <v>330</v>
      </c>
      <c r="AC6" s="17" t="s">
        <v>331</v>
      </c>
      <c r="AD6" s="17" t="s">
        <v>332</v>
      </c>
      <c r="AE6" s="17" t="s">
        <v>333</v>
      </c>
      <c r="AF6" s="17" t="s">
        <v>334</v>
      </c>
      <c r="AG6" s="17" t="s">
        <v>335</v>
      </c>
      <c r="AH6" s="17" t="s">
        <v>336</v>
      </c>
      <c r="AI6" s="17" t="s">
        <v>337</v>
      </c>
      <c r="AJ6" s="17" t="s">
        <v>338</v>
      </c>
      <c r="AK6" s="17" t="s">
        <v>339</v>
      </c>
      <c r="AL6" s="17" t="s">
        <v>340</v>
      </c>
    </row>
    <row r="7" spans="1:38" ht="16" x14ac:dyDescent="0.2">
      <c r="A7" s="18" t="s">
        <v>276</v>
      </c>
      <c r="B7" s="3"/>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row>
    <row r="8" spans="1:38" ht="16" x14ac:dyDescent="0.2">
      <c r="A8" s="18" t="s">
        <v>277</v>
      </c>
      <c r="B8" s="3"/>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row>
    <row r="9" spans="1:38" ht="16" x14ac:dyDescent="0.2">
      <c r="A9" s="18" t="s">
        <v>278</v>
      </c>
      <c r="B9" s="3"/>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row>
    <row r="10" spans="1:38" ht="16" x14ac:dyDescent="0.2">
      <c r="A10" s="18" t="s">
        <v>279</v>
      </c>
      <c r="B10" s="3"/>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row>
    <row r="11" spans="1:38" ht="16" x14ac:dyDescent="0.2">
      <c r="A11" s="18" t="s">
        <v>280</v>
      </c>
      <c r="B11" s="3"/>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row>
    <row r="12" spans="1:38" ht="16" x14ac:dyDescent="0.2">
      <c r="A12" s="18" t="s">
        <v>281</v>
      </c>
      <c r="B12" s="3"/>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row>
    <row r="13" spans="1:38" ht="16" x14ac:dyDescent="0.2">
      <c r="A13" s="18" t="s">
        <v>282</v>
      </c>
      <c r="B13" s="3"/>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row>
    <row r="14" spans="1:38" ht="16" x14ac:dyDescent="0.2">
      <c r="A14" s="18" t="s">
        <v>283</v>
      </c>
      <c r="B14" s="3"/>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row>
    <row r="15" spans="1:38" ht="16" x14ac:dyDescent="0.2">
      <c r="A15" s="18" t="s">
        <v>284</v>
      </c>
      <c r="B15" s="3"/>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row>
    <row r="16" spans="1:38" ht="16" x14ac:dyDescent="0.2">
      <c r="A16" s="18" t="s">
        <v>285</v>
      </c>
      <c r="B16" s="3"/>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row>
    <row r="17" spans="1:38" ht="16" x14ac:dyDescent="0.2">
      <c r="A17" s="18" t="s">
        <v>110</v>
      </c>
      <c r="B17" s="3"/>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row>
    <row r="18" spans="1:38" ht="18" customHeight="1" thickBot="1" x14ac:dyDescent="0.25">
      <c r="A18" s="22" t="s">
        <v>111</v>
      </c>
      <c r="B18" s="3"/>
      <c r="C18" s="40">
        <f t="shared" ref="C18:R18" si="0">SUM(C7:C17)</f>
        <v>0</v>
      </c>
      <c r="D18" s="40">
        <f t="shared" si="0"/>
        <v>0</v>
      </c>
      <c r="E18" s="40">
        <f t="shared" si="0"/>
        <v>0</v>
      </c>
      <c r="F18" s="40">
        <f t="shared" si="0"/>
        <v>0</v>
      </c>
      <c r="G18" s="40">
        <f>SUM(G7:G17)</f>
        <v>0</v>
      </c>
      <c r="H18" s="40">
        <f t="shared" si="0"/>
        <v>0</v>
      </c>
      <c r="I18" s="40">
        <f>SUM(I7:I17)</f>
        <v>0</v>
      </c>
      <c r="J18" s="40">
        <f t="shared" si="0"/>
        <v>0</v>
      </c>
      <c r="K18" s="40">
        <f t="shared" si="0"/>
        <v>0</v>
      </c>
      <c r="L18" s="40">
        <f t="shared" si="0"/>
        <v>0</v>
      </c>
      <c r="M18" s="40">
        <f t="shared" si="0"/>
        <v>0</v>
      </c>
      <c r="N18" s="40">
        <f t="shared" si="0"/>
        <v>0</v>
      </c>
      <c r="O18" s="40">
        <f t="shared" si="0"/>
        <v>0</v>
      </c>
      <c r="P18" s="40">
        <f t="shared" si="0"/>
        <v>0</v>
      </c>
      <c r="Q18" s="40">
        <f t="shared" si="0"/>
        <v>0</v>
      </c>
      <c r="R18" s="40">
        <f t="shared" si="0"/>
        <v>0</v>
      </c>
      <c r="S18" s="40">
        <f t="shared" ref="S18:AH18" si="1">SUM(S7:S17)</f>
        <v>0</v>
      </c>
      <c r="T18" s="40">
        <f t="shared" si="1"/>
        <v>0</v>
      </c>
      <c r="U18" s="40">
        <f t="shared" si="1"/>
        <v>0</v>
      </c>
      <c r="V18" s="40">
        <f t="shared" si="1"/>
        <v>0</v>
      </c>
      <c r="W18" s="40">
        <f t="shared" si="1"/>
        <v>0</v>
      </c>
      <c r="X18" s="40">
        <f t="shared" si="1"/>
        <v>0</v>
      </c>
      <c r="Y18" s="40">
        <f t="shared" si="1"/>
        <v>0</v>
      </c>
      <c r="Z18" s="40">
        <f t="shared" si="1"/>
        <v>0</v>
      </c>
      <c r="AA18" s="40">
        <f t="shared" si="1"/>
        <v>0</v>
      </c>
      <c r="AB18" s="40">
        <f t="shared" si="1"/>
        <v>0</v>
      </c>
      <c r="AC18" s="40">
        <f t="shared" si="1"/>
        <v>0</v>
      </c>
      <c r="AD18" s="40">
        <f t="shared" si="1"/>
        <v>0</v>
      </c>
      <c r="AE18" s="40">
        <f t="shared" si="1"/>
        <v>0</v>
      </c>
      <c r="AF18" s="40">
        <f t="shared" si="1"/>
        <v>0</v>
      </c>
      <c r="AG18" s="40">
        <f t="shared" si="1"/>
        <v>0</v>
      </c>
      <c r="AH18" s="40">
        <f t="shared" si="1"/>
        <v>0</v>
      </c>
      <c r="AI18" s="40"/>
      <c r="AJ18" s="40"/>
      <c r="AK18" s="40"/>
      <c r="AL18" s="40"/>
    </row>
    <row r="19" spans="1:38" ht="17.25" customHeight="1" thickTop="1" x14ac:dyDescent="0.2">
      <c r="A19" s="24"/>
      <c r="B19" s="3"/>
      <c r="C19" s="25"/>
      <c r="D19" s="25"/>
      <c r="E19" s="25"/>
      <c r="F19" s="25"/>
      <c r="G19" s="25"/>
      <c r="H19" s="25"/>
      <c r="I19" s="25"/>
      <c r="J19" s="25"/>
      <c r="K19" s="25"/>
      <c r="L19" s="25"/>
      <c r="M19" s="25"/>
      <c r="N19" s="25"/>
      <c r="O19" s="25"/>
      <c r="P19" s="25"/>
      <c r="Q19" s="25"/>
      <c r="R19" s="25"/>
      <c r="S19" s="3"/>
      <c r="T19" s="3"/>
      <c r="U19" s="3"/>
      <c r="V19" s="3"/>
      <c r="W19" s="3"/>
      <c r="X19" s="3"/>
      <c r="Y19" s="3"/>
      <c r="Z19" s="3"/>
      <c r="AA19" s="3"/>
      <c r="AB19" s="3"/>
      <c r="AC19" s="3"/>
      <c r="AD19" s="3"/>
      <c r="AE19" s="3"/>
      <c r="AF19" s="3"/>
      <c r="AG19" s="3"/>
      <c r="AH19" s="3"/>
      <c r="AI19" s="3"/>
      <c r="AJ19" s="3"/>
      <c r="AK19" s="3"/>
      <c r="AL19" s="3"/>
    </row>
    <row r="20" spans="1:38" ht="17.25" customHeight="1" x14ac:dyDescent="0.2">
      <c r="A20" s="16" t="str">
        <f>A2</f>
        <v>Indicator 17b</v>
      </c>
      <c r="B20" s="3"/>
      <c r="C20" s="17" t="s">
        <v>62</v>
      </c>
      <c r="D20" s="17" t="s">
        <v>63</v>
      </c>
      <c r="E20" s="17" t="s">
        <v>64</v>
      </c>
      <c r="F20" s="17" t="s">
        <v>65</v>
      </c>
      <c r="G20" s="17" t="s">
        <v>62</v>
      </c>
      <c r="H20" s="17" t="s">
        <v>63</v>
      </c>
      <c r="I20" s="17" t="s">
        <v>64</v>
      </c>
      <c r="J20" s="17" t="s">
        <v>65</v>
      </c>
      <c r="K20" s="17" t="s">
        <v>62</v>
      </c>
      <c r="L20" s="17" t="s">
        <v>63</v>
      </c>
      <c r="M20" s="17" t="s">
        <v>64</v>
      </c>
      <c r="N20" s="17" t="s">
        <v>65</v>
      </c>
      <c r="O20" s="17" t="s">
        <v>62</v>
      </c>
      <c r="P20" s="17" t="s">
        <v>63</v>
      </c>
      <c r="Q20" s="17" t="s">
        <v>64</v>
      </c>
      <c r="R20" s="17" t="s">
        <v>65</v>
      </c>
      <c r="S20" s="17" t="s">
        <v>62</v>
      </c>
      <c r="T20" s="17" t="s">
        <v>63</v>
      </c>
      <c r="U20" s="17" t="s">
        <v>64</v>
      </c>
      <c r="V20" s="17" t="s">
        <v>65</v>
      </c>
      <c r="W20" s="17" t="s">
        <v>62</v>
      </c>
      <c r="X20" s="17" t="s">
        <v>63</v>
      </c>
      <c r="Y20" s="17" t="s">
        <v>64</v>
      </c>
      <c r="Z20" s="17" t="s">
        <v>65</v>
      </c>
      <c r="AA20" s="17" t="s">
        <v>62</v>
      </c>
      <c r="AB20" s="17" t="s">
        <v>63</v>
      </c>
      <c r="AC20" s="17" t="s">
        <v>64</v>
      </c>
      <c r="AD20" s="17" t="s">
        <v>65</v>
      </c>
      <c r="AE20" s="17" t="s">
        <v>62</v>
      </c>
      <c r="AF20" s="17" t="s">
        <v>63</v>
      </c>
      <c r="AG20" s="17" t="s">
        <v>64</v>
      </c>
      <c r="AH20" s="17" t="s">
        <v>65</v>
      </c>
      <c r="AI20" s="17" t="s">
        <v>62</v>
      </c>
      <c r="AJ20" s="17" t="s">
        <v>63</v>
      </c>
      <c r="AK20" s="17" t="s">
        <v>64</v>
      </c>
      <c r="AL20" s="17" t="s">
        <v>65</v>
      </c>
    </row>
    <row r="21" spans="1:38" ht="17.25" customHeight="1" x14ac:dyDescent="0.2">
      <c r="A21" s="16"/>
      <c r="B21" s="3"/>
      <c r="C21" s="17" t="s">
        <v>385</v>
      </c>
      <c r="D21" s="17" t="s">
        <v>386</v>
      </c>
      <c r="E21" s="17" t="s">
        <v>387</v>
      </c>
      <c r="F21" s="17" t="s">
        <v>388</v>
      </c>
      <c r="G21" s="17" t="s">
        <v>66</v>
      </c>
      <c r="H21" s="17" t="s">
        <v>67</v>
      </c>
      <c r="I21" s="17" t="s">
        <v>68</v>
      </c>
      <c r="J21" s="17" t="s">
        <v>69</v>
      </c>
      <c r="K21" s="17" t="s">
        <v>70</v>
      </c>
      <c r="L21" s="17" t="s">
        <v>71</v>
      </c>
      <c r="M21" s="17" t="s">
        <v>72</v>
      </c>
      <c r="N21" s="17" t="s">
        <v>73</v>
      </c>
      <c r="O21" s="17" t="s">
        <v>74</v>
      </c>
      <c r="P21" s="17" t="s">
        <v>75</v>
      </c>
      <c r="Q21" s="17" t="s">
        <v>76</v>
      </c>
      <c r="R21" s="17" t="s">
        <v>77</v>
      </c>
      <c r="S21" s="58" t="s">
        <v>321</v>
      </c>
      <c r="T21" s="17" t="s">
        <v>322</v>
      </c>
      <c r="U21" s="17" t="s">
        <v>323</v>
      </c>
      <c r="V21" s="17" t="s">
        <v>324</v>
      </c>
      <c r="W21" s="58" t="s">
        <v>325</v>
      </c>
      <c r="X21" s="17" t="s">
        <v>326</v>
      </c>
      <c r="Y21" s="17" t="s">
        <v>327</v>
      </c>
      <c r="Z21" s="17" t="s">
        <v>328</v>
      </c>
      <c r="AA21" s="17" t="s">
        <v>329</v>
      </c>
      <c r="AB21" s="17" t="s">
        <v>330</v>
      </c>
      <c r="AC21" s="17" t="s">
        <v>331</v>
      </c>
      <c r="AD21" s="17" t="s">
        <v>332</v>
      </c>
      <c r="AE21" s="17" t="s">
        <v>333</v>
      </c>
      <c r="AF21" s="17" t="s">
        <v>334</v>
      </c>
      <c r="AG21" s="17" t="s">
        <v>335</v>
      </c>
      <c r="AH21" s="17" t="s">
        <v>336</v>
      </c>
      <c r="AI21" s="17" t="s">
        <v>337</v>
      </c>
      <c r="AJ21" s="17" t="s">
        <v>338</v>
      </c>
      <c r="AK21" s="17" t="s">
        <v>339</v>
      </c>
      <c r="AL21" s="17" t="s">
        <v>340</v>
      </c>
    </row>
    <row r="22" spans="1:38" ht="17.25" customHeight="1" x14ac:dyDescent="0.2">
      <c r="A22" s="18" t="s">
        <v>276</v>
      </c>
      <c r="B22" s="3"/>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row>
    <row r="23" spans="1:38" ht="17.25" customHeight="1" x14ac:dyDescent="0.2">
      <c r="A23" s="18" t="s">
        <v>277</v>
      </c>
      <c r="B23" s="3"/>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row>
    <row r="24" spans="1:38" ht="17.25" customHeight="1" x14ac:dyDescent="0.2">
      <c r="A24" s="18" t="s">
        <v>278</v>
      </c>
      <c r="B24" s="3"/>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row>
    <row r="25" spans="1:38" ht="17.25" customHeight="1" x14ac:dyDescent="0.2">
      <c r="A25" s="18" t="s">
        <v>286</v>
      </c>
      <c r="B25" s="3"/>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row>
    <row r="26" spans="1:38" ht="17.25" customHeight="1" x14ac:dyDescent="0.2">
      <c r="A26" s="18" t="s">
        <v>280</v>
      </c>
      <c r="B26" s="3"/>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row>
    <row r="27" spans="1:38" ht="17.25" customHeight="1" x14ac:dyDescent="0.2">
      <c r="A27" s="18" t="s">
        <v>281</v>
      </c>
      <c r="B27" s="3"/>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row>
    <row r="28" spans="1:38" ht="17.25" customHeight="1" x14ac:dyDescent="0.2">
      <c r="A28" s="18" t="s">
        <v>282</v>
      </c>
      <c r="B28" s="3"/>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row>
    <row r="29" spans="1:38" ht="17.25" customHeight="1" x14ac:dyDescent="0.2">
      <c r="A29" s="18" t="s">
        <v>283</v>
      </c>
      <c r="B29" s="3"/>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row>
    <row r="30" spans="1:38" ht="17.25" customHeight="1" x14ac:dyDescent="0.2">
      <c r="A30" s="18" t="s">
        <v>284</v>
      </c>
      <c r="B30" s="3"/>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row>
    <row r="31" spans="1:38" ht="17.25" customHeight="1" x14ac:dyDescent="0.2">
      <c r="A31" s="18" t="s">
        <v>285</v>
      </c>
      <c r="B31" s="3"/>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row>
    <row r="32" spans="1:38" ht="17.25" customHeight="1" x14ac:dyDescent="0.2">
      <c r="A32" s="18" t="s">
        <v>110</v>
      </c>
      <c r="B32" s="3"/>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row>
    <row r="33" spans="1:38" ht="17.25" customHeight="1" thickBot="1" x14ac:dyDescent="0.25">
      <c r="A33" s="22" t="s">
        <v>111</v>
      </c>
      <c r="B33" s="3"/>
      <c r="C33" s="40">
        <f t="shared" ref="C33:R33" si="2">SUM(C22:C32)</f>
        <v>0</v>
      </c>
      <c r="D33" s="40">
        <f t="shared" si="2"/>
        <v>0</v>
      </c>
      <c r="E33" s="40">
        <f t="shared" si="2"/>
        <v>0</v>
      </c>
      <c r="F33" s="40">
        <f t="shared" si="2"/>
        <v>0</v>
      </c>
      <c r="G33" s="40">
        <f t="shared" si="2"/>
        <v>0</v>
      </c>
      <c r="H33" s="40">
        <f t="shared" si="2"/>
        <v>0</v>
      </c>
      <c r="I33" s="40">
        <f t="shared" si="2"/>
        <v>0</v>
      </c>
      <c r="J33" s="40">
        <f t="shared" si="2"/>
        <v>0</v>
      </c>
      <c r="K33" s="40">
        <f t="shared" si="2"/>
        <v>0</v>
      </c>
      <c r="L33" s="40">
        <f t="shared" si="2"/>
        <v>0</v>
      </c>
      <c r="M33" s="40">
        <f t="shared" si="2"/>
        <v>0</v>
      </c>
      <c r="N33" s="40">
        <f t="shared" si="2"/>
        <v>0</v>
      </c>
      <c r="O33" s="40">
        <f t="shared" si="2"/>
        <v>0</v>
      </c>
      <c r="P33" s="40">
        <f t="shared" si="2"/>
        <v>0</v>
      </c>
      <c r="Q33" s="40">
        <f t="shared" si="2"/>
        <v>0</v>
      </c>
      <c r="R33" s="40">
        <f t="shared" si="2"/>
        <v>0</v>
      </c>
      <c r="S33" s="40">
        <f t="shared" ref="S33:AH33" si="3">SUM(S22:S32)</f>
        <v>0</v>
      </c>
      <c r="T33" s="40">
        <f t="shared" si="3"/>
        <v>0</v>
      </c>
      <c r="U33" s="40">
        <f t="shared" si="3"/>
        <v>0</v>
      </c>
      <c r="V33" s="40">
        <f t="shared" si="3"/>
        <v>0</v>
      </c>
      <c r="W33" s="40">
        <f t="shared" si="3"/>
        <v>0</v>
      </c>
      <c r="X33" s="40">
        <f t="shared" si="3"/>
        <v>0</v>
      </c>
      <c r="Y33" s="40">
        <f t="shared" si="3"/>
        <v>0</v>
      </c>
      <c r="Z33" s="40">
        <f t="shared" si="3"/>
        <v>0</v>
      </c>
      <c r="AA33" s="40">
        <f t="shared" si="3"/>
        <v>0</v>
      </c>
      <c r="AB33" s="40">
        <f t="shared" si="3"/>
        <v>0</v>
      </c>
      <c r="AC33" s="40">
        <f t="shared" si="3"/>
        <v>0</v>
      </c>
      <c r="AD33" s="40">
        <f t="shared" si="3"/>
        <v>0</v>
      </c>
      <c r="AE33" s="40">
        <f t="shared" si="3"/>
        <v>0</v>
      </c>
      <c r="AF33" s="40">
        <f t="shared" si="3"/>
        <v>0</v>
      </c>
      <c r="AG33" s="40">
        <f t="shared" si="3"/>
        <v>0</v>
      </c>
      <c r="AH33" s="40">
        <f t="shared" si="3"/>
        <v>0</v>
      </c>
      <c r="AI33" s="40"/>
      <c r="AJ33" s="40"/>
      <c r="AK33" s="40"/>
      <c r="AL33" s="40"/>
    </row>
    <row r="34" spans="1:38" ht="17.25" customHeight="1" thickTop="1" x14ac:dyDescent="0.2">
      <c r="A34" s="24"/>
      <c r="B34" s="3"/>
      <c r="C34" s="25"/>
      <c r="D34" s="25"/>
      <c r="E34" s="25"/>
      <c r="F34" s="25"/>
      <c r="G34" s="25"/>
      <c r="H34" s="25"/>
      <c r="I34" s="25"/>
      <c r="J34" s="25"/>
      <c r="K34" s="25"/>
      <c r="L34" s="25"/>
      <c r="M34" s="25"/>
      <c r="N34" s="25"/>
      <c r="O34" s="3"/>
      <c r="P34" s="3"/>
      <c r="Q34" s="3"/>
      <c r="R34" s="3"/>
      <c r="S34" s="3"/>
      <c r="T34" s="3"/>
      <c r="U34" s="3"/>
      <c r="V34" s="3"/>
      <c r="W34" s="3"/>
      <c r="X34" s="3"/>
      <c r="Y34" s="3"/>
      <c r="Z34" s="3"/>
      <c r="AA34" s="3"/>
      <c r="AB34" s="3"/>
      <c r="AC34" s="3"/>
      <c r="AD34" s="3"/>
      <c r="AE34" s="3"/>
      <c r="AF34" s="3"/>
      <c r="AG34" s="3"/>
      <c r="AH34" s="3"/>
      <c r="AI34" s="3"/>
      <c r="AJ34" s="3"/>
      <c r="AK34" s="3"/>
      <c r="AL34" s="3"/>
    </row>
    <row r="35" spans="1:38" ht="17.25" customHeight="1" x14ac:dyDescent="0.2">
      <c r="A35" s="15" t="s">
        <v>112</v>
      </c>
      <c r="B35" s="3"/>
      <c r="C35" s="26" t="s">
        <v>287</v>
      </c>
      <c r="D35" s="26"/>
      <c r="E35" s="26"/>
      <c r="F35" s="26"/>
      <c r="G35" s="26"/>
      <c r="H35" s="26"/>
      <c r="I35" s="26"/>
      <c r="J35" s="26"/>
      <c r="K35" s="26"/>
      <c r="L35" s="26"/>
      <c r="M35" s="26"/>
      <c r="N35" s="26"/>
      <c r="O35" s="26"/>
      <c r="P35" s="26"/>
      <c r="Q35" s="26"/>
      <c r="R35" s="26"/>
      <c r="S35" s="3"/>
      <c r="T35" s="3"/>
      <c r="U35" s="3"/>
      <c r="V35" s="3"/>
      <c r="W35" s="3"/>
      <c r="X35" s="3"/>
      <c r="Y35" s="3"/>
      <c r="Z35" s="3"/>
      <c r="AA35" s="3"/>
      <c r="AB35" s="3"/>
      <c r="AC35" s="3"/>
      <c r="AD35" s="3"/>
      <c r="AE35" s="3"/>
      <c r="AF35" s="3"/>
      <c r="AG35" s="3"/>
      <c r="AH35" s="3"/>
      <c r="AI35" s="3"/>
      <c r="AJ35" s="3"/>
      <c r="AK35" s="3"/>
      <c r="AL35" s="3"/>
    </row>
    <row r="36" spans="1:38" ht="15.75" customHeight="1" x14ac:dyDescent="0.2">
      <c r="A36" s="16" t="str">
        <f>(A1)</f>
        <v>Indicator 17a</v>
      </c>
      <c r="B36" s="3"/>
      <c r="C36" s="17" t="s">
        <v>62</v>
      </c>
      <c r="D36" s="17" t="s">
        <v>63</v>
      </c>
      <c r="E36" s="17" t="s">
        <v>64</v>
      </c>
      <c r="F36" s="17" t="s">
        <v>65</v>
      </c>
      <c r="G36" s="17" t="s">
        <v>62</v>
      </c>
      <c r="H36" s="17" t="s">
        <v>63</v>
      </c>
      <c r="I36" s="17" t="s">
        <v>64</v>
      </c>
      <c r="J36" s="17" t="s">
        <v>65</v>
      </c>
      <c r="K36" s="17" t="s">
        <v>62</v>
      </c>
      <c r="L36" s="17" t="s">
        <v>63</v>
      </c>
      <c r="M36" s="17" t="s">
        <v>64</v>
      </c>
      <c r="N36" s="17" t="s">
        <v>65</v>
      </c>
      <c r="O36" s="17" t="s">
        <v>62</v>
      </c>
      <c r="P36" s="17" t="s">
        <v>63</v>
      </c>
      <c r="Q36" s="17" t="s">
        <v>64</v>
      </c>
      <c r="R36" s="17" t="s">
        <v>65</v>
      </c>
      <c r="S36" s="17" t="s">
        <v>62</v>
      </c>
      <c r="T36" s="17" t="s">
        <v>63</v>
      </c>
      <c r="U36" s="17" t="s">
        <v>64</v>
      </c>
      <c r="V36" s="17" t="s">
        <v>65</v>
      </c>
      <c r="W36" s="17" t="s">
        <v>62</v>
      </c>
      <c r="X36" s="17" t="s">
        <v>63</v>
      </c>
      <c r="Y36" s="17" t="s">
        <v>64</v>
      </c>
      <c r="Z36" s="17" t="s">
        <v>65</v>
      </c>
      <c r="AA36" s="17" t="s">
        <v>62</v>
      </c>
      <c r="AB36" s="17" t="s">
        <v>63</v>
      </c>
      <c r="AC36" s="17" t="s">
        <v>64</v>
      </c>
      <c r="AD36" s="17" t="s">
        <v>65</v>
      </c>
      <c r="AE36" s="17" t="s">
        <v>62</v>
      </c>
      <c r="AF36" s="17" t="s">
        <v>63</v>
      </c>
      <c r="AG36" s="17" t="s">
        <v>64</v>
      </c>
      <c r="AH36" s="17" t="s">
        <v>65</v>
      </c>
      <c r="AI36" s="17" t="s">
        <v>62</v>
      </c>
      <c r="AJ36" s="17" t="s">
        <v>63</v>
      </c>
      <c r="AK36" s="17" t="s">
        <v>64</v>
      </c>
      <c r="AL36" s="17" t="s">
        <v>65</v>
      </c>
    </row>
    <row r="37" spans="1:38" ht="15.75" customHeight="1" x14ac:dyDescent="0.2">
      <c r="A37" s="27" t="s">
        <v>114</v>
      </c>
      <c r="B37" s="3"/>
      <c r="C37" s="17" t="s">
        <v>385</v>
      </c>
      <c r="D37" s="17" t="s">
        <v>386</v>
      </c>
      <c r="E37" s="17" t="s">
        <v>387</v>
      </c>
      <c r="F37" s="17" t="s">
        <v>388</v>
      </c>
      <c r="G37" s="17" t="s">
        <v>66</v>
      </c>
      <c r="H37" s="17" t="s">
        <v>67</v>
      </c>
      <c r="I37" s="17" t="s">
        <v>68</v>
      </c>
      <c r="J37" s="17" t="s">
        <v>69</v>
      </c>
      <c r="K37" s="17" t="s">
        <v>70</v>
      </c>
      <c r="L37" s="17" t="s">
        <v>71</v>
      </c>
      <c r="M37" s="17" t="s">
        <v>72</v>
      </c>
      <c r="N37" s="17" t="s">
        <v>73</v>
      </c>
      <c r="O37" s="17" t="s">
        <v>74</v>
      </c>
      <c r="P37" s="17" t="s">
        <v>75</v>
      </c>
      <c r="Q37" s="17" t="s">
        <v>76</v>
      </c>
      <c r="R37" s="17" t="s">
        <v>77</v>
      </c>
      <c r="S37" s="58" t="s">
        <v>321</v>
      </c>
      <c r="T37" s="17" t="s">
        <v>322</v>
      </c>
      <c r="U37" s="17" t="s">
        <v>323</v>
      </c>
      <c r="V37" s="17" t="s">
        <v>324</v>
      </c>
      <c r="W37" s="58" t="s">
        <v>325</v>
      </c>
      <c r="X37" s="17" t="s">
        <v>326</v>
      </c>
      <c r="Y37" s="17" t="s">
        <v>327</v>
      </c>
      <c r="Z37" s="17" t="s">
        <v>328</v>
      </c>
      <c r="AA37" s="17" t="s">
        <v>329</v>
      </c>
      <c r="AB37" s="17" t="s">
        <v>330</v>
      </c>
      <c r="AC37" s="17" t="s">
        <v>331</v>
      </c>
      <c r="AD37" s="17" t="s">
        <v>332</v>
      </c>
      <c r="AE37" s="17" t="s">
        <v>333</v>
      </c>
      <c r="AF37" s="17" t="s">
        <v>334</v>
      </c>
      <c r="AG37" s="17" t="s">
        <v>335</v>
      </c>
      <c r="AH37" s="17" t="s">
        <v>336</v>
      </c>
      <c r="AI37" s="17" t="s">
        <v>337</v>
      </c>
      <c r="AJ37" s="17" t="s">
        <v>338</v>
      </c>
      <c r="AK37" s="17" t="s">
        <v>339</v>
      </c>
      <c r="AL37" s="17" t="s">
        <v>340</v>
      </c>
    </row>
    <row r="38" spans="1:38" ht="15.75" customHeight="1" x14ac:dyDescent="0.2">
      <c r="A38" s="19"/>
      <c r="B38" s="3"/>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row>
    <row r="39" spans="1:38" ht="15.75" customHeight="1" x14ac:dyDescent="0.2">
      <c r="A39" s="19"/>
      <c r="B39" s="3"/>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row>
    <row r="40" spans="1:38" ht="15.75" customHeight="1" x14ac:dyDescent="0.2">
      <c r="A40" s="19"/>
      <c r="B40" s="3"/>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row>
    <row r="41" spans="1:38" ht="15.75" customHeight="1" x14ac:dyDescent="0.2">
      <c r="A41" s="19"/>
      <c r="B41" s="3"/>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row>
    <row r="42" spans="1:38" ht="15.75" customHeight="1" x14ac:dyDescent="0.2">
      <c r="A42" s="19"/>
      <c r="B42" s="3"/>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row>
    <row r="43" spans="1:38" ht="15.75" customHeight="1" x14ac:dyDescent="0.2">
      <c r="A43" s="16" t="str">
        <f>A2</f>
        <v>Indicator 17b</v>
      </c>
      <c r="B43" s="3"/>
      <c r="C43" s="17" t="s">
        <v>62</v>
      </c>
      <c r="D43" s="17" t="s">
        <v>63</v>
      </c>
      <c r="E43" s="17" t="s">
        <v>64</v>
      </c>
      <c r="F43" s="17" t="s">
        <v>65</v>
      </c>
      <c r="G43" s="17" t="s">
        <v>62</v>
      </c>
      <c r="H43" s="17" t="s">
        <v>63</v>
      </c>
      <c r="I43" s="17" t="s">
        <v>64</v>
      </c>
      <c r="J43" s="17" t="s">
        <v>65</v>
      </c>
      <c r="K43" s="17" t="s">
        <v>62</v>
      </c>
      <c r="L43" s="17" t="s">
        <v>63</v>
      </c>
      <c r="M43" s="17" t="s">
        <v>64</v>
      </c>
      <c r="N43" s="17" t="s">
        <v>65</v>
      </c>
      <c r="O43" s="17" t="s">
        <v>62</v>
      </c>
      <c r="P43" s="17" t="s">
        <v>63</v>
      </c>
      <c r="Q43" s="17" t="s">
        <v>64</v>
      </c>
      <c r="R43" s="17" t="s">
        <v>65</v>
      </c>
      <c r="S43" s="17" t="s">
        <v>62</v>
      </c>
      <c r="T43" s="17" t="s">
        <v>63</v>
      </c>
      <c r="U43" s="17" t="s">
        <v>64</v>
      </c>
      <c r="V43" s="17" t="s">
        <v>65</v>
      </c>
      <c r="W43" s="17" t="s">
        <v>62</v>
      </c>
      <c r="X43" s="17" t="s">
        <v>63</v>
      </c>
      <c r="Y43" s="17" t="s">
        <v>64</v>
      </c>
      <c r="Z43" s="17" t="s">
        <v>65</v>
      </c>
      <c r="AA43" s="17" t="s">
        <v>62</v>
      </c>
      <c r="AB43" s="17" t="s">
        <v>63</v>
      </c>
      <c r="AC43" s="17" t="s">
        <v>64</v>
      </c>
      <c r="AD43" s="17" t="s">
        <v>65</v>
      </c>
      <c r="AE43" s="17" t="s">
        <v>62</v>
      </c>
      <c r="AF43" s="17" t="s">
        <v>63</v>
      </c>
      <c r="AG43" s="17" t="s">
        <v>64</v>
      </c>
      <c r="AH43" s="17" t="s">
        <v>65</v>
      </c>
      <c r="AI43" s="17" t="s">
        <v>62</v>
      </c>
      <c r="AJ43" s="17" t="s">
        <v>63</v>
      </c>
      <c r="AK43" s="17" t="s">
        <v>64</v>
      </c>
      <c r="AL43" s="17" t="s">
        <v>65</v>
      </c>
    </row>
    <row r="44" spans="1:38" ht="15.75" customHeight="1" x14ac:dyDescent="0.2">
      <c r="A44" s="27" t="s">
        <v>114</v>
      </c>
      <c r="B44" s="3"/>
      <c r="C44" s="17" t="s">
        <v>385</v>
      </c>
      <c r="D44" s="17" t="s">
        <v>386</v>
      </c>
      <c r="E44" s="17" t="s">
        <v>387</v>
      </c>
      <c r="F44" s="17" t="s">
        <v>388</v>
      </c>
      <c r="G44" s="17" t="s">
        <v>66</v>
      </c>
      <c r="H44" s="17" t="s">
        <v>67</v>
      </c>
      <c r="I44" s="17" t="s">
        <v>68</v>
      </c>
      <c r="J44" s="17" t="s">
        <v>69</v>
      </c>
      <c r="K44" s="17" t="s">
        <v>70</v>
      </c>
      <c r="L44" s="17" t="s">
        <v>71</v>
      </c>
      <c r="M44" s="17" t="s">
        <v>72</v>
      </c>
      <c r="N44" s="17" t="s">
        <v>73</v>
      </c>
      <c r="O44" s="17" t="s">
        <v>74</v>
      </c>
      <c r="P44" s="17" t="s">
        <v>75</v>
      </c>
      <c r="Q44" s="17" t="s">
        <v>76</v>
      </c>
      <c r="R44" s="17" t="s">
        <v>77</v>
      </c>
      <c r="S44" s="58" t="s">
        <v>321</v>
      </c>
      <c r="T44" s="17" t="s">
        <v>322</v>
      </c>
      <c r="U44" s="17" t="s">
        <v>323</v>
      </c>
      <c r="V44" s="17" t="s">
        <v>324</v>
      </c>
      <c r="W44" s="58" t="s">
        <v>325</v>
      </c>
      <c r="X44" s="17" t="s">
        <v>326</v>
      </c>
      <c r="Y44" s="17" t="s">
        <v>327</v>
      </c>
      <c r="Z44" s="17" t="s">
        <v>328</v>
      </c>
      <c r="AA44" s="17" t="s">
        <v>329</v>
      </c>
      <c r="AB44" s="17" t="s">
        <v>330</v>
      </c>
      <c r="AC44" s="17" t="s">
        <v>331</v>
      </c>
      <c r="AD44" s="17" t="s">
        <v>332</v>
      </c>
      <c r="AE44" s="17" t="s">
        <v>333</v>
      </c>
      <c r="AF44" s="17" t="s">
        <v>334</v>
      </c>
      <c r="AG44" s="17" t="s">
        <v>335</v>
      </c>
      <c r="AH44" s="17" t="s">
        <v>336</v>
      </c>
      <c r="AI44" s="17" t="s">
        <v>337</v>
      </c>
      <c r="AJ44" s="17" t="s">
        <v>338</v>
      </c>
      <c r="AK44" s="17" t="s">
        <v>339</v>
      </c>
      <c r="AL44" s="17" t="s">
        <v>340</v>
      </c>
    </row>
    <row r="45" spans="1:38" ht="15.75" customHeight="1" x14ac:dyDescent="0.2">
      <c r="A45" s="19"/>
      <c r="B45" s="3"/>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row>
    <row r="46" spans="1:38" ht="15.75" customHeight="1" x14ac:dyDescent="0.2">
      <c r="A46" s="19"/>
      <c r="B46" s="3"/>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row>
    <row r="47" spans="1:38" ht="15.75" customHeight="1" x14ac:dyDescent="0.2">
      <c r="A47" s="19"/>
      <c r="B47" s="3"/>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row>
    <row r="48" spans="1:38" ht="15.75" customHeight="1" x14ac:dyDescent="0.2">
      <c r="A48" s="19"/>
      <c r="B48" s="3"/>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row>
    <row r="49" spans="1:38" ht="15.75" customHeight="1" x14ac:dyDescent="0.2">
      <c r="A49" s="19"/>
      <c r="B49" s="3"/>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row>
    <row r="50" spans="1:38"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row>
    <row r="51" spans="1:38" ht="15.75" customHeight="1" x14ac:dyDescent="0.2">
      <c r="A51" s="15" t="s">
        <v>115</v>
      </c>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row>
    <row r="52" spans="1:38" ht="111.75" customHeight="1" x14ac:dyDescent="0.2">
      <c r="A52" s="4" t="s">
        <v>116</v>
      </c>
      <c r="B52" s="3"/>
      <c r="C52" s="85"/>
      <c r="D52" s="86"/>
      <c r="E52" s="86"/>
      <c r="F52" s="86"/>
      <c r="G52" s="86"/>
      <c r="H52" s="86"/>
      <c r="I52" s="86"/>
      <c r="J52" s="86"/>
      <c r="K52" s="86"/>
      <c r="L52" s="86"/>
      <c r="M52" s="86"/>
      <c r="N52" s="86"/>
      <c r="O52" s="86"/>
      <c r="P52" s="86"/>
      <c r="Q52" s="86"/>
      <c r="R52" s="86"/>
      <c r="S52" s="86"/>
      <c r="T52" s="87"/>
      <c r="U52" s="3"/>
      <c r="V52" s="3"/>
      <c r="W52" s="3"/>
      <c r="X52" s="3"/>
      <c r="Y52" s="3"/>
      <c r="Z52" s="3"/>
      <c r="AA52" s="3"/>
      <c r="AB52" s="3"/>
      <c r="AC52" s="3"/>
      <c r="AD52" s="3"/>
      <c r="AE52" s="3"/>
      <c r="AF52" s="3"/>
      <c r="AG52" s="3"/>
      <c r="AH52" s="3"/>
      <c r="AI52" s="3"/>
      <c r="AJ52" s="3"/>
      <c r="AK52" s="3"/>
      <c r="AL52" s="3"/>
    </row>
    <row r="53" spans="1:38" ht="31.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row>
    <row r="54" spans="1:38" ht="31.5" customHeight="1" x14ac:dyDescent="0.2">
      <c r="A54" s="61" t="s">
        <v>366</v>
      </c>
      <c r="B54" s="3"/>
      <c r="C54" s="3" t="b">
        <f>AND(EXACT(C18,'2-3 INQUIRIES'!C7))</f>
        <v>0</v>
      </c>
      <c r="D54" s="3" t="b">
        <f>AND(EXACT(D18,'2-3 INQUIRIES'!D7))</f>
        <v>0</v>
      </c>
      <c r="E54" s="3" t="b">
        <f>AND(EXACT(E18,'2-3 INQUIRIES'!E7))</f>
        <v>0</v>
      </c>
      <c r="F54" s="3" t="b">
        <f>AND(EXACT(F18,'2-3 INQUIRIES'!F7))</f>
        <v>0</v>
      </c>
      <c r="G54" s="3" t="b">
        <f>AND(EXACT(G18,'2-3 INQUIRIES'!G7))</f>
        <v>0</v>
      </c>
      <c r="H54" s="3" t="b">
        <f>AND(EXACT(H18,'2-3 INQUIRIES'!H7))</f>
        <v>0</v>
      </c>
      <c r="I54" s="3" t="b">
        <f>AND(EXACT(I18,'2-3 INQUIRIES'!I7))</f>
        <v>0</v>
      </c>
      <c r="J54" s="3" t="b">
        <f>AND(EXACT(J18,'2-3 INQUIRIES'!J7))</f>
        <v>0</v>
      </c>
      <c r="K54" s="3" t="b">
        <f>AND(EXACT(K18,'2-3 INQUIRIES'!K7))</f>
        <v>0</v>
      </c>
      <c r="L54" s="3" t="b">
        <f>AND(EXACT(L18,'2-3 INQUIRIES'!L7))</f>
        <v>0</v>
      </c>
      <c r="M54" s="3" t="b">
        <f>AND(EXACT(M18,'2-3 INQUIRIES'!M7))</f>
        <v>0</v>
      </c>
      <c r="N54" s="3" t="b">
        <f>AND(EXACT(N18,'2-3 INQUIRIES'!N7))</f>
        <v>0</v>
      </c>
      <c r="O54" s="3" t="b">
        <f>AND(EXACT(O18,'2-3 INQUIRIES'!O7))</f>
        <v>0</v>
      </c>
      <c r="P54" s="3" t="b">
        <f>AND(EXACT(P18,'2-3 INQUIRIES'!P7))</f>
        <v>0</v>
      </c>
      <c r="Q54" s="3" t="b">
        <f>AND(EXACT(Q18,'2-3 INQUIRIES'!Q7))</f>
        <v>0</v>
      </c>
      <c r="R54" s="3" t="b">
        <f>AND(EXACT(R18,'2-3 INQUIRIES'!R7))</f>
        <v>0</v>
      </c>
      <c r="S54" s="3" t="b">
        <f>AND(EXACT(S18,'2-3 INQUIRIES'!S7))</f>
        <v>0</v>
      </c>
      <c r="T54" s="3" t="b">
        <f>AND(EXACT(T18,'2-3 INQUIRIES'!T7))</f>
        <v>0</v>
      </c>
      <c r="U54" s="3" t="b">
        <f>AND(EXACT(U18,'2-3 INQUIRIES'!U7))</f>
        <v>0</v>
      </c>
      <c r="V54" s="3" t="b">
        <f>AND(EXACT(V18,'2-3 INQUIRIES'!V7))</f>
        <v>0</v>
      </c>
      <c r="W54" s="3" t="b">
        <f>AND(EXACT(W18,'2-3 INQUIRIES'!W7))</f>
        <v>0</v>
      </c>
      <c r="X54" s="3" t="b">
        <f>AND(EXACT(X18,'2-3 INQUIRIES'!X7))</f>
        <v>0</v>
      </c>
      <c r="Y54" s="3" t="b">
        <f>AND(EXACT(Y18,'2-3 INQUIRIES'!Y7))</f>
        <v>0</v>
      </c>
      <c r="Z54" s="3" t="b">
        <f>AND(EXACT(Z18,'2-3 INQUIRIES'!Z7))</f>
        <v>0</v>
      </c>
      <c r="AA54" s="3" t="b">
        <f>AND(EXACT(AA18,'2-3 INQUIRIES'!AA7))</f>
        <v>0</v>
      </c>
      <c r="AB54" s="3" t="b">
        <f>AND(EXACT(AB18,'2-3 INQUIRIES'!AB7))</f>
        <v>0</v>
      </c>
      <c r="AC54" s="3" t="b">
        <f>AND(EXACT(AC18,'2-3 INQUIRIES'!AC7))</f>
        <v>0</v>
      </c>
      <c r="AD54" s="3" t="b">
        <f>AND(EXACT(AD18,'2-3 INQUIRIES'!AD7))</f>
        <v>0</v>
      </c>
      <c r="AE54" s="3" t="b">
        <f>AND(EXACT(AE18,'2-3 INQUIRIES'!AE7))</f>
        <v>0</v>
      </c>
      <c r="AF54" s="3" t="b">
        <f>AND(EXACT(AF18,'2-3 INQUIRIES'!AF7))</f>
        <v>0</v>
      </c>
      <c r="AG54" s="3" t="b">
        <f>AND(EXACT(AG18,'2-3 INQUIRIES'!AG7))</f>
        <v>0</v>
      </c>
      <c r="AH54" s="3" t="b">
        <f>AND(EXACT(AH18,'2-3 INQUIRIES'!AH7))</f>
        <v>0</v>
      </c>
      <c r="AI54" s="3" t="b">
        <f>AND(EXACT(AI18,'2-3 INQUIRIES'!AI7))</f>
        <v>1</v>
      </c>
      <c r="AJ54" s="3" t="b">
        <f>AND(EXACT(AJ18,'2-3 INQUIRIES'!AJ7))</f>
        <v>1</v>
      </c>
      <c r="AK54" s="3" t="b">
        <f>AND(EXACT(AK18,'2-3 INQUIRIES'!AK7))</f>
        <v>1</v>
      </c>
      <c r="AL54" s="3" t="b">
        <f>AND(EXACT(AL18,'2-3 INQUIRIES'!AL7))</f>
        <v>1</v>
      </c>
    </row>
    <row r="55" spans="1:38" ht="31.5" customHeight="1" x14ac:dyDescent="0.2">
      <c r="A55" s="61" t="s">
        <v>367</v>
      </c>
      <c r="B55" s="3"/>
      <c r="C55" s="3" t="b">
        <f>AND(EXACT(C33,'2-3 INQUIRIES'!C11))</f>
        <v>0</v>
      </c>
      <c r="D55" s="3" t="b">
        <f>AND(EXACT(D33,'2-3 INQUIRIES'!D11))</f>
        <v>0</v>
      </c>
      <c r="E55" s="3" t="b">
        <f>AND(EXACT(E33,'2-3 INQUIRIES'!E11))</f>
        <v>0</v>
      </c>
      <c r="F55" s="3" t="b">
        <f>AND(EXACT(F33,'2-3 INQUIRIES'!F11))</f>
        <v>0</v>
      </c>
      <c r="G55" s="3" t="b">
        <f>AND(EXACT(G33,'2-3 INQUIRIES'!G11))</f>
        <v>0</v>
      </c>
      <c r="H55" s="3" t="b">
        <f>AND(EXACT(H33,'2-3 INQUIRIES'!H11))</f>
        <v>0</v>
      </c>
      <c r="I55" s="3" t="b">
        <f>AND(EXACT(I33,'2-3 INQUIRIES'!I11))</f>
        <v>0</v>
      </c>
      <c r="J55" s="3" t="b">
        <f>AND(EXACT(J33,'2-3 INQUIRIES'!J11))</f>
        <v>0</v>
      </c>
      <c r="K55" s="3" t="b">
        <f>AND(EXACT(K33,'2-3 INQUIRIES'!K11))</f>
        <v>0</v>
      </c>
      <c r="L55" s="3" t="b">
        <f>AND(EXACT(L33,'2-3 INQUIRIES'!L11))</f>
        <v>0</v>
      </c>
      <c r="M55" s="3" t="b">
        <f>AND(EXACT(M33,'2-3 INQUIRIES'!M11))</f>
        <v>0</v>
      </c>
      <c r="N55" s="3" t="b">
        <f>AND(EXACT(N33,'2-3 INQUIRIES'!N11))</f>
        <v>0</v>
      </c>
      <c r="O55" s="3" t="b">
        <f>AND(EXACT(O33,'2-3 INQUIRIES'!O11))</f>
        <v>0</v>
      </c>
      <c r="P55" s="3" t="b">
        <f>AND(EXACT(P33,'2-3 INQUIRIES'!P11))</f>
        <v>0</v>
      </c>
      <c r="Q55" s="3" t="b">
        <f>AND(EXACT(Q33,'2-3 INQUIRIES'!Q11))</f>
        <v>0</v>
      </c>
      <c r="R55" s="3" t="b">
        <f>AND(EXACT(R33,'2-3 INQUIRIES'!R11))</f>
        <v>0</v>
      </c>
      <c r="S55" s="3" t="b">
        <f>AND(EXACT(S33,'2-3 INQUIRIES'!S11))</f>
        <v>0</v>
      </c>
      <c r="T55" s="3" t="b">
        <f>AND(EXACT(T33,'2-3 INQUIRIES'!T11))</f>
        <v>0</v>
      </c>
      <c r="U55" s="3" t="b">
        <f>AND(EXACT(U33,'2-3 INQUIRIES'!U11))</f>
        <v>0</v>
      </c>
      <c r="V55" s="3" t="b">
        <f>AND(EXACT(V33,'2-3 INQUIRIES'!V11))</f>
        <v>0</v>
      </c>
      <c r="W55" s="3" t="b">
        <f>AND(EXACT(W33,'2-3 INQUIRIES'!W11))</f>
        <v>0</v>
      </c>
      <c r="X55" s="3" t="b">
        <f>AND(EXACT(X33,'2-3 INQUIRIES'!X11))</f>
        <v>0</v>
      </c>
      <c r="Y55" s="3" t="b">
        <f>AND(EXACT(Y33,'2-3 INQUIRIES'!Y11))</f>
        <v>0</v>
      </c>
      <c r="Z55" s="3" t="b">
        <f>AND(EXACT(Z33,'2-3 INQUIRIES'!Z11))</f>
        <v>0</v>
      </c>
      <c r="AA55" s="3" t="b">
        <f>AND(EXACT(AA33,'2-3 INQUIRIES'!AA11))</f>
        <v>0</v>
      </c>
      <c r="AB55" s="3" t="b">
        <f>AND(EXACT(AB33,'2-3 INQUIRIES'!AB11))</f>
        <v>0</v>
      </c>
      <c r="AC55" s="3" t="b">
        <f>AND(EXACT(AC33,'2-3 INQUIRIES'!AC11))</f>
        <v>0</v>
      </c>
      <c r="AD55" s="3" t="b">
        <f>AND(EXACT(AD33,'2-3 INQUIRIES'!AD11))</f>
        <v>0</v>
      </c>
      <c r="AE55" s="3" t="b">
        <f>AND(EXACT(AE33,'2-3 INQUIRIES'!AE11))</f>
        <v>0</v>
      </c>
      <c r="AF55" s="3" t="b">
        <f>AND(EXACT(AF33,'2-3 INQUIRIES'!AF11))</f>
        <v>0</v>
      </c>
      <c r="AG55" s="3" t="b">
        <f>AND(EXACT(AG33,'2-3 INQUIRIES'!AG11))</f>
        <v>0</v>
      </c>
      <c r="AH55" s="3" t="b">
        <f>AND(EXACT(AH33,'2-3 INQUIRIES'!AH11))</f>
        <v>0</v>
      </c>
      <c r="AI55" s="3" t="b">
        <f>AND(EXACT(AI33,'2-3 INQUIRIES'!AI11))</f>
        <v>1</v>
      </c>
      <c r="AJ55" s="3" t="b">
        <f>AND(EXACT(AJ33,'2-3 INQUIRIES'!AJ11))</f>
        <v>1</v>
      </c>
      <c r="AK55" s="3" t="b">
        <f>AND(EXACT(AK33,'2-3 INQUIRIES'!AK11))</f>
        <v>1</v>
      </c>
      <c r="AL55" s="3" t="b">
        <f>AND(EXACT(AL33,'2-3 INQUIRIES'!AL11))</f>
        <v>1</v>
      </c>
    </row>
    <row r="56" spans="1:38" ht="31.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row>
    <row r="57" spans="1:38" ht="31.5" customHeight="1" x14ac:dyDescent="0.2">
      <c r="A57" s="15" t="s">
        <v>320</v>
      </c>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row>
    <row r="58" spans="1:38" ht="409.5" customHeight="1" x14ac:dyDescent="0.2">
      <c r="A58" s="60"/>
      <c r="B58" s="60"/>
      <c r="C58" s="60"/>
      <c r="D58" s="60"/>
      <c r="E58" s="60"/>
      <c r="F58" s="60"/>
      <c r="G58" s="60"/>
      <c r="H58" s="60"/>
      <c r="I58" s="60"/>
      <c r="J58" s="60"/>
      <c r="K58" s="60"/>
      <c r="L58" s="60"/>
      <c r="M58" s="60"/>
      <c r="N58" s="60"/>
      <c r="O58" s="60"/>
      <c r="P58" s="60"/>
      <c r="Q58" s="60"/>
      <c r="R58" s="60"/>
      <c r="S58" s="60"/>
      <c r="T58" s="60"/>
      <c r="U58" s="3"/>
      <c r="V58" s="3"/>
      <c r="W58" s="3"/>
      <c r="X58" s="3"/>
      <c r="Y58" s="3"/>
      <c r="Z58" s="3"/>
      <c r="AA58" s="3"/>
      <c r="AB58" s="3"/>
      <c r="AC58" s="3"/>
      <c r="AD58" s="3"/>
      <c r="AE58" s="3"/>
      <c r="AF58" s="3"/>
      <c r="AG58" s="3"/>
      <c r="AH58" s="3"/>
      <c r="AI58" s="3"/>
      <c r="AJ58" s="3"/>
      <c r="AK58" s="3"/>
      <c r="AL58" s="3"/>
    </row>
    <row r="59" spans="1:38" ht="198" customHeight="1" x14ac:dyDescent="0.2">
      <c r="A59" s="29"/>
      <c r="B59" s="29"/>
      <c r="C59" s="29"/>
      <c r="D59" s="29"/>
      <c r="E59" s="29"/>
      <c r="F59" s="29"/>
      <c r="G59" s="29"/>
      <c r="H59" s="29"/>
      <c r="I59" s="29"/>
      <c r="J59" s="29"/>
      <c r="K59" s="29"/>
      <c r="L59" s="29"/>
      <c r="M59" s="29"/>
      <c r="N59" s="29"/>
      <c r="O59" s="29"/>
      <c r="P59" s="29"/>
      <c r="Q59" s="29"/>
      <c r="R59" s="29"/>
      <c r="S59" s="29"/>
      <c r="T59" s="29"/>
      <c r="U59" s="3"/>
      <c r="V59" s="3"/>
      <c r="W59" s="3"/>
      <c r="X59" s="3"/>
      <c r="Y59" s="3"/>
      <c r="Z59" s="3"/>
      <c r="AA59" s="3"/>
      <c r="AB59" s="3"/>
      <c r="AC59" s="3"/>
      <c r="AD59" s="3"/>
      <c r="AE59" s="3"/>
      <c r="AF59" s="3"/>
      <c r="AG59" s="3"/>
      <c r="AH59" s="3"/>
      <c r="AI59" s="3"/>
      <c r="AJ59" s="3"/>
      <c r="AK59" s="3"/>
      <c r="AL59" s="3"/>
    </row>
    <row r="60" spans="1:38" ht="17.25" customHeight="1" x14ac:dyDescent="0.2">
      <c r="A60" s="15" t="s">
        <v>117</v>
      </c>
      <c r="B60" s="3"/>
      <c r="C60" s="25"/>
      <c r="D60" s="25"/>
      <c r="E60" s="25"/>
      <c r="F60" s="25"/>
      <c r="G60" s="25"/>
      <c r="H60" s="25"/>
      <c r="I60" s="25"/>
      <c r="J60" s="25"/>
      <c r="K60" s="25"/>
      <c r="L60" s="25"/>
      <c r="M60" s="25"/>
      <c r="N60" s="25"/>
      <c r="O60" s="3"/>
      <c r="P60" s="3"/>
      <c r="Q60" s="3"/>
      <c r="R60" s="3"/>
      <c r="S60" s="3"/>
      <c r="T60" s="3"/>
      <c r="U60" s="3"/>
      <c r="V60" s="3"/>
      <c r="W60" s="3"/>
      <c r="X60" s="3"/>
      <c r="Y60" s="3"/>
      <c r="Z60" s="3"/>
      <c r="AA60" s="3"/>
      <c r="AB60" s="3"/>
      <c r="AC60" s="3"/>
      <c r="AD60" s="3"/>
      <c r="AE60" s="3"/>
      <c r="AF60" s="3"/>
      <c r="AG60" s="3"/>
      <c r="AH60" s="3"/>
      <c r="AI60" s="3"/>
      <c r="AJ60" s="3"/>
      <c r="AK60" s="3"/>
      <c r="AL60" s="3"/>
    </row>
    <row r="61" spans="1:38" ht="15.75" customHeight="1" x14ac:dyDescent="0.2">
      <c r="A61" s="31" t="str">
        <f>(A1)</f>
        <v>Indicator 17a</v>
      </c>
      <c r="B61" s="3"/>
      <c r="C61" s="82" t="s">
        <v>288</v>
      </c>
      <c r="D61" s="83"/>
      <c r="E61" s="83"/>
      <c r="F61" s="83"/>
      <c r="G61" s="83"/>
      <c r="H61" s="83"/>
      <c r="I61" s="83"/>
      <c r="J61" s="83"/>
      <c r="K61" s="83"/>
      <c r="L61" s="83"/>
      <c r="M61" s="83"/>
      <c r="N61" s="83"/>
      <c r="O61" s="3"/>
      <c r="P61" s="3"/>
      <c r="Q61" s="3"/>
      <c r="R61" s="3"/>
      <c r="S61" s="3"/>
      <c r="T61" s="3"/>
      <c r="U61" s="3"/>
      <c r="V61" s="3"/>
      <c r="W61" s="3"/>
      <c r="X61" s="3"/>
      <c r="Y61" s="3"/>
      <c r="Z61" s="3"/>
      <c r="AA61" s="3"/>
      <c r="AB61" s="3"/>
      <c r="AC61" s="3"/>
      <c r="AD61" s="3"/>
      <c r="AE61" s="3"/>
      <c r="AF61" s="3"/>
      <c r="AG61" s="3"/>
      <c r="AH61" s="3"/>
      <c r="AI61" s="3"/>
      <c r="AJ61" s="3"/>
      <c r="AK61" s="3"/>
      <c r="AL61" s="3"/>
    </row>
    <row r="62" spans="1:38" ht="15.75" customHeight="1" x14ac:dyDescent="0.2">
      <c r="A62" s="3"/>
      <c r="B62" s="3"/>
      <c r="C62" s="32"/>
      <c r="D62" s="32"/>
      <c r="E62" s="32"/>
      <c r="F62" s="32"/>
      <c r="G62" s="32"/>
      <c r="H62" s="32"/>
      <c r="I62" s="32"/>
      <c r="J62" s="32"/>
      <c r="K62" s="32"/>
      <c r="L62" s="32"/>
      <c r="M62" s="32"/>
      <c r="N62" s="32"/>
      <c r="O62" s="3"/>
      <c r="P62" s="3"/>
      <c r="Q62" s="3"/>
      <c r="R62" s="3"/>
      <c r="S62" s="3"/>
      <c r="T62" s="3"/>
      <c r="U62" s="3"/>
      <c r="V62" s="3"/>
      <c r="W62" s="3"/>
      <c r="X62" s="3"/>
      <c r="Y62" s="3"/>
      <c r="Z62" s="3"/>
      <c r="AA62" s="3"/>
      <c r="AB62" s="3"/>
      <c r="AC62" s="3"/>
      <c r="AD62" s="3"/>
      <c r="AE62" s="3"/>
      <c r="AF62" s="3"/>
      <c r="AG62" s="3"/>
      <c r="AH62" s="3"/>
      <c r="AI62" s="3"/>
      <c r="AJ62" s="3"/>
      <c r="AK62" s="3"/>
      <c r="AL62" s="3"/>
    </row>
    <row r="63" spans="1:38" ht="17.25" customHeight="1" x14ac:dyDescent="0.2">
      <c r="A63" s="15" t="s">
        <v>119</v>
      </c>
      <c r="B63" s="3"/>
      <c r="C63" s="32"/>
      <c r="D63" s="32"/>
      <c r="E63" s="32"/>
      <c r="F63" s="32"/>
      <c r="G63" s="32"/>
      <c r="H63" s="32"/>
      <c r="I63" s="32"/>
      <c r="J63" s="32"/>
      <c r="K63" s="32"/>
      <c r="L63" s="32"/>
      <c r="M63" s="32"/>
      <c r="N63" s="32"/>
      <c r="O63" s="3"/>
      <c r="P63" s="3"/>
      <c r="Q63" s="3"/>
      <c r="R63" s="3"/>
      <c r="S63" s="3"/>
      <c r="T63" s="3"/>
      <c r="U63" s="3"/>
      <c r="V63" s="3"/>
      <c r="W63" s="3"/>
      <c r="X63" s="3"/>
      <c r="Y63" s="3"/>
      <c r="Z63" s="3"/>
      <c r="AA63" s="3"/>
      <c r="AB63" s="3"/>
      <c r="AC63" s="3"/>
      <c r="AD63" s="3"/>
      <c r="AE63" s="3"/>
      <c r="AF63" s="3"/>
      <c r="AG63" s="3"/>
      <c r="AH63" s="3"/>
      <c r="AI63" s="3"/>
      <c r="AJ63" s="3"/>
      <c r="AK63" s="3"/>
      <c r="AL63" s="3"/>
    </row>
    <row r="64" spans="1:38" ht="66" customHeight="1" x14ac:dyDescent="0.2">
      <c r="A64" s="31" t="s">
        <v>289</v>
      </c>
      <c r="B64" s="3"/>
      <c r="C64" s="82" t="s">
        <v>290</v>
      </c>
      <c r="D64" s="83"/>
      <c r="E64" s="83"/>
      <c r="F64" s="83"/>
      <c r="G64" s="83"/>
      <c r="H64" s="83"/>
      <c r="I64" s="83"/>
      <c r="J64" s="83"/>
      <c r="K64" s="83"/>
      <c r="L64" s="83"/>
      <c r="M64" s="83"/>
      <c r="N64" s="83"/>
      <c r="O64" s="3"/>
      <c r="P64" s="3"/>
      <c r="Q64" s="3"/>
      <c r="R64" s="3"/>
      <c r="S64" s="3"/>
      <c r="T64" s="3"/>
      <c r="U64" s="3"/>
      <c r="V64" s="3"/>
      <c r="W64" s="3"/>
      <c r="X64" s="3"/>
      <c r="Y64" s="3"/>
      <c r="Z64" s="3"/>
      <c r="AA64" s="3"/>
      <c r="AB64" s="3"/>
      <c r="AC64" s="3"/>
      <c r="AD64" s="3"/>
      <c r="AE64" s="3"/>
      <c r="AF64" s="3"/>
      <c r="AG64" s="3"/>
      <c r="AH64" s="3"/>
      <c r="AI64" s="3"/>
      <c r="AJ64" s="3"/>
      <c r="AK64" s="3"/>
      <c r="AL64" s="3"/>
    </row>
    <row r="65" spans="1:38" ht="15.75" customHeight="1" x14ac:dyDescent="0.2">
      <c r="A65" s="31"/>
      <c r="B65" s="3"/>
      <c r="C65" s="32"/>
      <c r="D65" s="32"/>
      <c r="E65" s="32"/>
      <c r="F65" s="32"/>
      <c r="G65" s="32"/>
      <c r="H65" s="32"/>
      <c r="I65" s="32"/>
      <c r="J65" s="32"/>
      <c r="K65" s="32"/>
      <c r="L65" s="32"/>
      <c r="M65" s="32"/>
      <c r="N65" s="32"/>
      <c r="O65" s="3"/>
      <c r="P65" s="3"/>
      <c r="Q65" s="3"/>
      <c r="R65" s="3"/>
      <c r="S65" s="3"/>
      <c r="T65" s="3"/>
      <c r="U65" s="3"/>
      <c r="V65" s="3"/>
      <c r="W65" s="3"/>
      <c r="X65" s="3"/>
      <c r="Y65" s="3"/>
      <c r="Z65" s="3"/>
      <c r="AA65" s="3"/>
      <c r="AB65" s="3"/>
      <c r="AC65" s="3"/>
      <c r="AD65" s="3"/>
      <c r="AE65" s="3"/>
      <c r="AF65" s="3"/>
      <c r="AG65" s="3"/>
      <c r="AH65" s="3"/>
      <c r="AI65" s="3"/>
      <c r="AJ65" s="3"/>
      <c r="AK65" s="3"/>
      <c r="AL65" s="3"/>
    </row>
    <row r="66" spans="1:38" ht="15" customHeight="1" x14ac:dyDescent="0.2">
      <c r="A66" s="3"/>
      <c r="B66" s="3"/>
      <c r="C66" s="32"/>
      <c r="D66" s="32"/>
      <c r="E66" s="32"/>
      <c r="F66" s="32"/>
      <c r="G66" s="32"/>
      <c r="H66" s="32"/>
      <c r="I66" s="32"/>
      <c r="J66" s="32"/>
      <c r="K66" s="32"/>
      <c r="L66" s="32"/>
      <c r="M66" s="32"/>
      <c r="N66" s="32"/>
      <c r="O66" s="3"/>
      <c r="P66" s="3"/>
      <c r="Q66" s="3"/>
      <c r="R66" s="3"/>
      <c r="S66" s="3"/>
      <c r="T66" s="3"/>
      <c r="U66" s="3"/>
      <c r="V66" s="3"/>
      <c r="W66" s="3"/>
      <c r="X66" s="3"/>
      <c r="Y66" s="3"/>
      <c r="Z66" s="3"/>
      <c r="AA66" s="3"/>
      <c r="AB66" s="3"/>
      <c r="AC66" s="3"/>
      <c r="AD66" s="3"/>
      <c r="AE66" s="3"/>
      <c r="AF66" s="3"/>
      <c r="AG66" s="3"/>
      <c r="AH66" s="3"/>
      <c r="AI66" s="3"/>
      <c r="AJ66" s="3"/>
      <c r="AK66" s="3"/>
      <c r="AL66" s="3"/>
    </row>
    <row r="67" spans="1:38" ht="15.75" customHeight="1" x14ac:dyDescent="0.2">
      <c r="A67" s="15" t="s">
        <v>142</v>
      </c>
      <c r="B67" s="3"/>
      <c r="C67" s="32"/>
      <c r="D67" s="32"/>
      <c r="E67" s="32"/>
      <c r="F67" s="32"/>
      <c r="G67" s="32"/>
      <c r="H67" s="32"/>
      <c r="I67" s="32"/>
      <c r="J67" s="32"/>
      <c r="K67" s="32"/>
      <c r="L67" s="32"/>
      <c r="M67" s="32"/>
      <c r="N67" s="32"/>
      <c r="O67" s="3"/>
      <c r="P67" s="3"/>
      <c r="Q67" s="3"/>
      <c r="R67" s="3"/>
      <c r="S67" s="3"/>
      <c r="T67" s="3"/>
      <c r="U67" s="3"/>
      <c r="V67" s="3"/>
      <c r="W67" s="3"/>
      <c r="X67" s="3"/>
      <c r="Y67" s="3"/>
      <c r="Z67" s="3"/>
      <c r="AA67" s="3"/>
      <c r="AB67" s="3"/>
      <c r="AC67" s="3"/>
      <c r="AD67" s="3"/>
      <c r="AE67" s="3"/>
      <c r="AF67" s="3"/>
      <c r="AG67" s="3"/>
      <c r="AH67" s="3"/>
      <c r="AI67" s="3"/>
      <c r="AJ67" s="3"/>
      <c r="AK67" s="3"/>
      <c r="AL67" s="3"/>
    </row>
    <row r="68" spans="1:38" ht="15.75" customHeight="1" x14ac:dyDescent="0.2">
      <c r="A68" s="31" t="str">
        <f>(A1)</f>
        <v>Indicator 17a</v>
      </c>
      <c r="B68" s="3"/>
      <c r="C68" s="82" t="s">
        <v>143</v>
      </c>
      <c r="D68" s="83"/>
      <c r="E68" s="83"/>
      <c r="F68" s="83"/>
      <c r="G68" s="83"/>
      <c r="H68" s="83"/>
      <c r="I68" s="83"/>
      <c r="J68" s="83"/>
      <c r="K68" s="83"/>
      <c r="L68" s="83"/>
      <c r="M68" s="83"/>
      <c r="N68" s="83"/>
      <c r="O68" s="3"/>
      <c r="P68" s="3"/>
      <c r="Q68" s="3"/>
      <c r="R68" s="3"/>
      <c r="S68" s="3"/>
      <c r="T68" s="3"/>
      <c r="U68" s="3"/>
      <c r="V68" s="3"/>
      <c r="W68" s="3"/>
      <c r="X68" s="3"/>
      <c r="Y68" s="3"/>
      <c r="Z68" s="3"/>
      <c r="AA68" s="3"/>
      <c r="AB68" s="3"/>
      <c r="AC68" s="3"/>
      <c r="AD68" s="3"/>
      <c r="AE68" s="3"/>
      <c r="AF68" s="3"/>
      <c r="AG68" s="3"/>
      <c r="AH68" s="3"/>
      <c r="AI68" s="3"/>
      <c r="AJ68" s="3"/>
      <c r="AK68" s="3"/>
      <c r="AL68" s="3"/>
    </row>
    <row r="69" spans="1:38" ht="15.75" customHeight="1" x14ac:dyDescent="0.2">
      <c r="A69" s="3"/>
      <c r="B69" s="3"/>
      <c r="C69" s="32"/>
      <c r="D69" s="32"/>
      <c r="E69" s="32"/>
      <c r="F69" s="32"/>
      <c r="G69" s="32"/>
      <c r="H69" s="32"/>
      <c r="I69" s="32"/>
      <c r="J69" s="32"/>
      <c r="K69" s="32"/>
      <c r="L69" s="32"/>
      <c r="M69" s="32"/>
      <c r="N69" s="32"/>
      <c r="O69" s="3"/>
      <c r="P69" s="3"/>
      <c r="Q69" s="3"/>
      <c r="R69" s="3"/>
      <c r="S69" s="3"/>
      <c r="T69" s="3"/>
      <c r="U69" s="3"/>
      <c r="V69" s="3"/>
      <c r="W69" s="3"/>
      <c r="X69" s="3"/>
      <c r="Y69" s="3"/>
      <c r="Z69" s="3"/>
      <c r="AA69" s="3"/>
      <c r="AB69" s="3"/>
      <c r="AC69" s="3"/>
      <c r="AD69" s="3"/>
      <c r="AE69" s="3"/>
      <c r="AF69" s="3"/>
      <c r="AG69" s="3"/>
      <c r="AH69" s="3"/>
      <c r="AI69" s="3"/>
      <c r="AJ69" s="3"/>
      <c r="AK69" s="3"/>
      <c r="AL69" s="3"/>
    </row>
    <row r="70" spans="1:38" ht="15.75" customHeight="1" x14ac:dyDescent="0.2">
      <c r="A70" s="15" t="s">
        <v>144</v>
      </c>
      <c r="B70" s="3"/>
      <c r="C70" s="32"/>
      <c r="D70" s="32"/>
      <c r="E70" s="32"/>
      <c r="F70" s="32"/>
      <c r="G70" s="32"/>
      <c r="H70" s="32"/>
      <c r="I70" s="32"/>
      <c r="J70" s="32"/>
      <c r="K70" s="32"/>
      <c r="L70" s="32"/>
      <c r="M70" s="32"/>
      <c r="N70" s="32"/>
      <c r="O70" s="3"/>
      <c r="P70" s="3"/>
      <c r="Q70" s="3"/>
      <c r="R70" s="3"/>
      <c r="S70" s="3"/>
      <c r="T70" s="3"/>
      <c r="U70" s="3"/>
      <c r="V70" s="3"/>
      <c r="W70" s="3"/>
      <c r="X70" s="3"/>
      <c r="Y70" s="3"/>
      <c r="Z70" s="3"/>
      <c r="AA70" s="3"/>
      <c r="AB70" s="3"/>
      <c r="AC70" s="3"/>
      <c r="AD70" s="3"/>
      <c r="AE70" s="3"/>
      <c r="AF70" s="3"/>
      <c r="AG70" s="3"/>
      <c r="AH70" s="3"/>
      <c r="AI70" s="3"/>
      <c r="AJ70" s="3"/>
      <c r="AK70" s="3"/>
      <c r="AL70" s="3"/>
    </row>
    <row r="71" spans="1:38" ht="58.5" customHeight="1" x14ac:dyDescent="0.2">
      <c r="A71" s="31" t="str">
        <f>(A1)</f>
        <v>Indicator 17a</v>
      </c>
      <c r="B71" s="3"/>
      <c r="C71" s="82" t="s">
        <v>257</v>
      </c>
      <c r="D71" s="83"/>
      <c r="E71" s="83"/>
      <c r="F71" s="83"/>
      <c r="G71" s="83"/>
      <c r="H71" s="83"/>
      <c r="I71" s="83"/>
      <c r="J71" s="83"/>
      <c r="K71" s="83"/>
      <c r="L71" s="83"/>
      <c r="M71" s="83"/>
      <c r="N71" s="83"/>
      <c r="O71" s="36"/>
      <c r="P71" s="36"/>
      <c r="Q71" s="36"/>
      <c r="R71" s="36"/>
      <c r="S71" s="36"/>
      <c r="T71" s="36"/>
      <c r="U71" s="36"/>
      <c r="V71" s="36"/>
      <c r="W71" s="36"/>
      <c r="X71" s="36"/>
      <c r="Y71" s="36"/>
      <c r="Z71" s="36"/>
      <c r="AA71" s="36"/>
      <c r="AB71" s="36"/>
      <c r="AC71" s="36"/>
      <c r="AD71" s="36"/>
      <c r="AE71" s="36"/>
      <c r="AF71" s="36"/>
      <c r="AG71" s="36"/>
      <c r="AH71" s="36"/>
      <c r="AI71" s="36"/>
      <c r="AJ71" s="36"/>
      <c r="AK71" s="36"/>
      <c r="AL71" s="36"/>
    </row>
    <row r="72" spans="1:38" ht="15" customHeight="1" x14ac:dyDescent="0.2">
      <c r="A72" s="3"/>
      <c r="B72" s="3"/>
      <c r="C72" s="32"/>
      <c r="D72" s="32"/>
      <c r="E72" s="32"/>
      <c r="F72" s="32"/>
      <c r="G72" s="32"/>
      <c r="H72" s="32"/>
      <c r="I72" s="32"/>
      <c r="J72" s="32"/>
      <c r="K72" s="32"/>
      <c r="L72" s="32"/>
      <c r="M72" s="32"/>
      <c r="N72" s="32"/>
      <c r="O72" s="3"/>
      <c r="P72" s="3"/>
      <c r="Q72" s="3"/>
      <c r="R72" s="3"/>
      <c r="S72" s="3"/>
      <c r="T72" s="3"/>
      <c r="U72" s="3"/>
      <c r="V72" s="3"/>
      <c r="W72" s="3"/>
      <c r="X72" s="3"/>
      <c r="Y72" s="3"/>
      <c r="Z72" s="3"/>
      <c r="AA72" s="3"/>
      <c r="AB72" s="3"/>
      <c r="AC72" s="3"/>
      <c r="AD72" s="3"/>
      <c r="AE72" s="3"/>
      <c r="AF72" s="3"/>
      <c r="AG72" s="3"/>
      <c r="AH72" s="3"/>
      <c r="AI72" s="3"/>
      <c r="AJ72" s="3"/>
      <c r="AK72" s="3"/>
      <c r="AL72" s="3"/>
    </row>
    <row r="73" spans="1:38"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row>
    <row r="74" spans="1:38"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row>
    <row r="75" spans="1:38"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row>
    <row r="76" spans="1:38"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row>
    <row r="77" spans="1:38"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row>
    <row r="78" spans="1:38"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row>
    <row r="79" spans="1:38"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row>
    <row r="80" spans="1:38"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row>
    <row r="81" spans="1:38"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row>
    <row r="82" spans="1:38"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row>
    <row r="83" spans="1:38"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row>
    <row r="84" spans="1:38"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row>
    <row r="85" spans="1:38"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row>
    <row r="86" spans="1:38"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row>
    <row r="87" spans="1:38"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row>
    <row r="88" spans="1:38"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row>
    <row r="89" spans="1:38"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row>
    <row r="90" spans="1:38"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row>
    <row r="91" spans="1:38"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row>
    <row r="92" spans="1:38"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row>
    <row r="93" spans="1:38"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row>
    <row r="94" spans="1:38"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row>
    <row r="95" spans="1:38"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row>
    <row r="96" spans="1:38"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row>
    <row r="97" spans="1:38"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row>
    <row r="98" spans="1:38"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row>
    <row r="99" spans="1:38"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row>
    <row r="100" spans="1:38"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row>
    <row r="101" spans="1:38"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row>
    <row r="102" spans="1:38"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row>
    <row r="103" spans="1:38"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row>
    <row r="104" spans="1:38"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row>
    <row r="105" spans="1:38"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row>
    <row r="106" spans="1:38"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row>
    <row r="107" spans="1:38"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row>
    <row r="108" spans="1:38"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row>
    <row r="109" spans="1:38"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row>
    <row r="110" spans="1:38"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row>
    <row r="111" spans="1:38"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row>
    <row r="112" spans="1:38"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row>
    <row r="113" spans="1:38"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row>
    <row r="114" spans="1:38"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row>
    <row r="115" spans="1:38"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row>
    <row r="116" spans="1:38"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row>
    <row r="117" spans="1:38"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row>
    <row r="118" spans="1:38"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row>
    <row r="119" spans="1:38"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row>
    <row r="120" spans="1:38"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row>
    <row r="121" spans="1:38"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row>
    <row r="122" spans="1:38"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row>
    <row r="123" spans="1:38"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row>
    <row r="124" spans="1:38"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row>
    <row r="125" spans="1:38"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row>
    <row r="126" spans="1:38"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row>
    <row r="127" spans="1:38"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row>
    <row r="128" spans="1:38"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row>
    <row r="129" spans="1:38"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row>
    <row r="130" spans="1:38"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row>
    <row r="131" spans="1:38"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row>
    <row r="132" spans="1:38"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row>
    <row r="133" spans="1:38"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row>
    <row r="134" spans="1:38"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row>
    <row r="135" spans="1:38"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row>
    <row r="136" spans="1:38"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row>
    <row r="137" spans="1:38"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row>
    <row r="138" spans="1:38"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row>
    <row r="139" spans="1:38"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row>
    <row r="140" spans="1:38"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row>
    <row r="141" spans="1:38"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row>
    <row r="142" spans="1:38"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row>
    <row r="143" spans="1:38"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row>
    <row r="144" spans="1:38"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row>
    <row r="145" spans="1:38"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row>
    <row r="146" spans="1:38"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row>
    <row r="147" spans="1:38"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row>
    <row r="148" spans="1:38"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row>
    <row r="149" spans="1:38"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row>
    <row r="150" spans="1:38"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row>
    <row r="151" spans="1:38"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row>
    <row r="152" spans="1:38"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row>
    <row r="153" spans="1:38"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row>
    <row r="154" spans="1:38"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row>
    <row r="155" spans="1:38"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row>
    <row r="156" spans="1:38"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row>
    <row r="157" spans="1:38"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row>
    <row r="158" spans="1:38"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row>
    <row r="159" spans="1:38"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row>
    <row r="160" spans="1:38"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row>
    <row r="161" spans="1:38"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row>
    <row r="162" spans="1:38"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row>
    <row r="163" spans="1:38"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row>
    <row r="164" spans="1:38"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row>
    <row r="165" spans="1:38"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row>
    <row r="166" spans="1:38"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row>
    <row r="167" spans="1:38"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row>
    <row r="168" spans="1:38"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row>
    <row r="169" spans="1:38"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row>
    <row r="170" spans="1:38"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row>
    <row r="171" spans="1:38"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row>
    <row r="172" spans="1:38"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row>
    <row r="173" spans="1:38"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row>
    <row r="174" spans="1:38"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row>
    <row r="175" spans="1:38"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row>
    <row r="176" spans="1:38"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row>
    <row r="177" spans="1:38"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row>
    <row r="178" spans="1:38"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row>
    <row r="179" spans="1:38"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row>
    <row r="180" spans="1:38"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row>
    <row r="181" spans="1:38"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row>
    <row r="182" spans="1:38"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row>
    <row r="183" spans="1:38"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row>
    <row r="184" spans="1:38"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row>
    <row r="185" spans="1:38"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row>
    <row r="186" spans="1:38"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row>
    <row r="187" spans="1:38"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row>
    <row r="188" spans="1:38"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row>
    <row r="189" spans="1:38"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row>
    <row r="190" spans="1:38"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row>
    <row r="191" spans="1:38"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row>
    <row r="192" spans="1:38"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row>
    <row r="193" spans="1:38"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row>
    <row r="194" spans="1:38"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row>
    <row r="195" spans="1:38"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row>
    <row r="196" spans="1:38"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row>
    <row r="197" spans="1:38"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row>
    <row r="198" spans="1:38"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row>
    <row r="199" spans="1:38"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row>
    <row r="200" spans="1:38"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row>
    <row r="201" spans="1:38"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row>
    <row r="202" spans="1:38"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row>
    <row r="203" spans="1:38"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row>
    <row r="204" spans="1:38"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row>
    <row r="205" spans="1:38"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row>
    <row r="206" spans="1:38"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row>
    <row r="207" spans="1:38"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row>
    <row r="208" spans="1:38"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row>
    <row r="209" spans="1:38"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row>
    <row r="210" spans="1:38"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row>
    <row r="211" spans="1:38"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row>
    <row r="212" spans="1:38"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row>
    <row r="213" spans="1:38"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row>
    <row r="214" spans="1:38"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row>
    <row r="215" spans="1:38"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row>
    <row r="216" spans="1:38"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row>
    <row r="217" spans="1:38"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row>
    <row r="218" spans="1:38"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row>
    <row r="219" spans="1:38"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row>
    <row r="220" spans="1:38"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row>
    <row r="221" spans="1:38"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row>
    <row r="222" spans="1:38"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row>
    <row r="223" spans="1:38"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row>
    <row r="224" spans="1:38"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row>
    <row r="225" spans="1:38"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row>
    <row r="226" spans="1:38"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row>
    <row r="227" spans="1:38"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row>
    <row r="228" spans="1:38"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row>
    <row r="229" spans="1:38"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row>
    <row r="230" spans="1:38"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row>
    <row r="231" spans="1:38"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row>
    <row r="232" spans="1:38"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row>
    <row r="233" spans="1:38"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row>
    <row r="234" spans="1:38"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row>
    <row r="235" spans="1:38"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row>
    <row r="236" spans="1:38"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row>
    <row r="237" spans="1:38"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row>
    <row r="238" spans="1:38"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row>
    <row r="239" spans="1:38"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row>
    <row r="240" spans="1:38"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row>
    <row r="241" spans="1:38"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row>
    <row r="242" spans="1:38"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row>
    <row r="243" spans="1:38"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row>
    <row r="244" spans="1:38"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row>
    <row r="245" spans="1:38"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row>
    <row r="246" spans="1:38"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row>
    <row r="247" spans="1:38"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row>
    <row r="248" spans="1:38"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row>
    <row r="249" spans="1:38"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row>
    <row r="250" spans="1:38"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row>
    <row r="251" spans="1:38"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row>
    <row r="252" spans="1:38"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row>
    <row r="253" spans="1:38"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row>
    <row r="254" spans="1:38"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row>
    <row r="255" spans="1:38"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row>
    <row r="256" spans="1:38"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row>
    <row r="257" spans="1:38"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row>
    <row r="258" spans="1:38"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row>
    <row r="259" spans="1:38"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row>
    <row r="260" spans="1:38"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row>
    <row r="261" spans="1:38"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row>
    <row r="262" spans="1:38"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row>
    <row r="263" spans="1:38"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row>
    <row r="264" spans="1:38"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row>
    <row r="265" spans="1:38"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row>
    <row r="266" spans="1:38"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row>
    <row r="267" spans="1:38"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row>
    <row r="268" spans="1:38"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row>
    <row r="269" spans="1:38"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row>
    <row r="270" spans="1:38"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row>
    <row r="271" spans="1:38"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row>
    <row r="272" spans="1:38"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5">
    <mergeCell ref="C52:T52"/>
    <mergeCell ref="C61:N61"/>
    <mergeCell ref="C64:N64"/>
    <mergeCell ref="C68:N68"/>
    <mergeCell ref="C71:N71"/>
  </mergeCells>
  <conditionalFormatting sqref="C54:AL55">
    <cfRule type="containsText" dxfId="1" priority="1" operator="containsText" text="TRUE">
      <formula>NOT(ISERROR(SEARCH("TRUE",C54)))</formula>
    </cfRule>
    <cfRule type="containsText" dxfId="0" priority="2" operator="containsText" text="FALSE">
      <formula>NOT(ISERROR(SEARCH("FALSE",C54)))</formula>
    </cfRule>
  </conditionalFormatting>
  <pageMargins left="0.7" right="0.7" top="0.75" bottom="0.75" header="0" footer="0"/>
  <pageSetup paperSize="9"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sheetPr>
  <dimension ref="A1:AL997"/>
  <sheetViews>
    <sheetView showGridLines="0" zoomScale="120" zoomScaleNormal="120" workbookViewId="0">
      <selection activeCell="C12" sqref="C12:J12"/>
    </sheetView>
  </sheetViews>
  <sheetFormatPr baseColWidth="10" defaultColWidth="14.5" defaultRowHeight="15" customHeight="1" x14ac:dyDescent="0.2"/>
  <cols>
    <col min="1" max="1" width="51.6640625" customWidth="1"/>
    <col min="2" max="2" width="1.33203125" customWidth="1"/>
    <col min="3" max="27" width="9.1640625" customWidth="1"/>
    <col min="28" max="34" width="9.5" customWidth="1"/>
    <col min="35" max="38" width="11.1640625" customWidth="1"/>
  </cols>
  <sheetData>
    <row r="1" spans="1:38" ht="31.5" customHeight="1" x14ac:dyDescent="0.2">
      <c r="A1" s="10" t="s">
        <v>291</v>
      </c>
      <c r="B1" s="10"/>
      <c r="C1" s="55" t="s">
        <v>292</v>
      </c>
      <c r="D1" s="10"/>
      <c r="E1" s="10"/>
      <c r="F1" s="10"/>
      <c r="G1" s="10"/>
      <c r="H1" s="10"/>
      <c r="I1" s="10"/>
      <c r="J1" s="10"/>
      <c r="K1" s="10"/>
      <c r="L1" s="10"/>
      <c r="M1" s="10"/>
      <c r="N1" s="10"/>
      <c r="O1" s="10"/>
      <c r="P1" s="10"/>
      <c r="Q1" s="10"/>
      <c r="R1" s="10"/>
      <c r="S1" s="10"/>
      <c r="T1" s="10"/>
    </row>
    <row r="2" spans="1:38" ht="31.5" customHeight="1" x14ac:dyDescent="0.2">
      <c r="A2" s="10" t="s">
        <v>293</v>
      </c>
      <c r="B2" s="10"/>
      <c r="C2" s="11" t="s">
        <v>294</v>
      </c>
      <c r="D2" s="10"/>
      <c r="E2" s="10"/>
      <c r="F2" s="10"/>
      <c r="G2" s="10"/>
      <c r="H2" s="10"/>
      <c r="I2" s="10"/>
      <c r="J2" s="10"/>
      <c r="K2" s="10"/>
      <c r="L2" s="10"/>
      <c r="M2" s="10"/>
      <c r="N2" s="10"/>
      <c r="O2" s="10"/>
      <c r="P2" s="10"/>
      <c r="Q2" s="10"/>
      <c r="R2" s="10"/>
      <c r="S2" s="10"/>
      <c r="T2" s="10"/>
      <c r="U2" s="3"/>
      <c r="V2" s="3"/>
      <c r="W2" s="3"/>
      <c r="X2" s="3"/>
      <c r="Y2" s="3"/>
      <c r="Z2" s="3"/>
      <c r="AA2" s="3"/>
      <c r="AB2" s="3"/>
      <c r="AC2" s="3"/>
      <c r="AD2" s="3"/>
      <c r="AE2" s="3"/>
      <c r="AF2" s="3"/>
      <c r="AG2" s="3"/>
      <c r="AH2" s="3"/>
      <c r="AI2" s="3"/>
      <c r="AJ2" s="3"/>
      <c r="AK2" s="3"/>
      <c r="AL2" s="3"/>
    </row>
    <row r="3" spans="1:38" ht="31.5" customHeight="1" x14ac:dyDescent="0.2">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row>
    <row r="4" spans="1:38" ht="19" x14ac:dyDescent="0.25">
      <c r="A4" s="15" t="s">
        <v>61</v>
      </c>
      <c r="B4" s="3"/>
      <c r="C4" s="13"/>
      <c r="D4" s="14"/>
      <c r="E4" s="14"/>
      <c r="F4" s="14"/>
      <c r="G4" s="14"/>
      <c r="H4" s="14"/>
      <c r="I4" s="14"/>
      <c r="J4" s="14"/>
      <c r="K4" s="14"/>
      <c r="L4" s="14"/>
      <c r="M4" s="14"/>
      <c r="N4" s="14"/>
      <c r="O4" s="3"/>
      <c r="P4" s="3"/>
      <c r="Q4" s="3"/>
      <c r="R4" s="3"/>
      <c r="S4" s="3"/>
      <c r="T4" s="3"/>
      <c r="U4" s="3"/>
      <c r="V4" s="3"/>
      <c r="W4" s="3"/>
      <c r="X4" s="3"/>
      <c r="Y4" s="3"/>
      <c r="Z4" s="3"/>
      <c r="AA4" s="3"/>
      <c r="AB4" s="3"/>
      <c r="AC4" s="3"/>
      <c r="AD4" s="3"/>
      <c r="AE4" s="3"/>
      <c r="AF4" s="3"/>
      <c r="AG4" s="3"/>
      <c r="AH4" s="3"/>
      <c r="AI4" s="3"/>
      <c r="AJ4" s="3"/>
      <c r="AK4" s="3"/>
      <c r="AL4" s="3"/>
    </row>
    <row r="5" spans="1:38" ht="16" x14ac:dyDescent="0.2">
      <c r="A5" s="16" t="str">
        <f>A1</f>
        <v>Indicator 18a</v>
      </c>
      <c r="B5" s="3"/>
      <c r="C5" s="17" t="s">
        <v>62</v>
      </c>
      <c r="D5" s="17" t="s">
        <v>63</v>
      </c>
      <c r="E5" s="17" t="s">
        <v>64</v>
      </c>
      <c r="F5" s="17" t="s">
        <v>65</v>
      </c>
      <c r="G5" s="17" t="s">
        <v>62</v>
      </c>
      <c r="H5" s="17" t="s">
        <v>63</v>
      </c>
      <c r="I5" s="17" t="s">
        <v>64</v>
      </c>
      <c r="J5" s="17" t="s">
        <v>65</v>
      </c>
      <c r="K5" s="17" t="s">
        <v>62</v>
      </c>
      <c r="L5" s="17" t="s">
        <v>63</v>
      </c>
      <c r="M5" s="17" t="s">
        <v>64</v>
      </c>
      <c r="N5" s="17" t="s">
        <v>65</v>
      </c>
      <c r="O5" s="17" t="s">
        <v>62</v>
      </c>
      <c r="P5" s="17" t="s">
        <v>63</v>
      </c>
      <c r="Q5" s="17" t="s">
        <v>64</v>
      </c>
      <c r="R5" s="17" t="s">
        <v>65</v>
      </c>
      <c r="S5" s="17" t="s">
        <v>62</v>
      </c>
      <c r="T5" s="17" t="s">
        <v>63</v>
      </c>
      <c r="U5" s="17" t="s">
        <v>64</v>
      </c>
      <c r="V5" s="17" t="s">
        <v>65</v>
      </c>
      <c r="W5" s="17" t="s">
        <v>62</v>
      </c>
      <c r="X5" s="17" t="s">
        <v>63</v>
      </c>
      <c r="Y5" s="17" t="s">
        <v>64</v>
      </c>
      <c r="Z5" s="17" t="s">
        <v>65</v>
      </c>
      <c r="AA5" s="17" t="s">
        <v>62</v>
      </c>
      <c r="AB5" s="17" t="s">
        <v>63</v>
      </c>
      <c r="AC5" s="17" t="s">
        <v>64</v>
      </c>
      <c r="AD5" s="17" t="s">
        <v>65</v>
      </c>
      <c r="AE5" s="17" t="s">
        <v>62</v>
      </c>
      <c r="AF5" s="17" t="s">
        <v>63</v>
      </c>
      <c r="AG5" s="17" t="s">
        <v>64</v>
      </c>
      <c r="AH5" s="17" t="s">
        <v>65</v>
      </c>
      <c r="AI5" s="58" t="s">
        <v>62</v>
      </c>
      <c r="AJ5" s="58" t="s">
        <v>63</v>
      </c>
      <c r="AK5" s="58" t="s">
        <v>64</v>
      </c>
      <c r="AL5" s="58" t="s">
        <v>65</v>
      </c>
    </row>
    <row r="6" spans="1:38" ht="26" x14ac:dyDescent="0.2">
      <c r="A6" s="16"/>
      <c r="B6" s="3"/>
      <c r="C6" s="17" t="s">
        <v>385</v>
      </c>
      <c r="D6" s="17" t="s">
        <v>386</v>
      </c>
      <c r="E6" s="17" t="s">
        <v>387</v>
      </c>
      <c r="F6" s="17" t="s">
        <v>388</v>
      </c>
      <c r="G6" s="17" t="s">
        <v>66</v>
      </c>
      <c r="H6" s="17" t="s">
        <v>67</v>
      </c>
      <c r="I6" s="17" t="s">
        <v>68</v>
      </c>
      <c r="J6" s="17" t="s">
        <v>69</v>
      </c>
      <c r="K6" s="17" t="s">
        <v>70</v>
      </c>
      <c r="L6" s="17" t="s">
        <v>71</v>
      </c>
      <c r="M6" s="17" t="s">
        <v>72</v>
      </c>
      <c r="N6" s="17" t="s">
        <v>73</v>
      </c>
      <c r="O6" s="17" t="s">
        <v>74</v>
      </c>
      <c r="P6" s="17" t="s">
        <v>75</v>
      </c>
      <c r="Q6" s="17" t="s">
        <v>76</v>
      </c>
      <c r="R6" s="17" t="s">
        <v>77</v>
      </c>
      <c r="S6" s="58" t="s">
        <v>321</v>
      </c>
      <c r="T6" s="17" t="s">
        <v>322</v>
      </c>
      <c r="U6" s="17" t="s">
        <v>323</v>
      </c>
      <c r="V6" s="17" t="s">
        <v>324</v>
      </c>
      <c r="W6" s="58" t="s">
        <v>325</v>
      </c>
      <c r="X6" s="17" t="s">
        <v>326</v>
      </c>
      <c r="Y6" s="17" t="s">
        <v>327</v>
      </c>
      <c r="Z6" s="17" t="s">
        <v>328</v>
      </c>
      <c r="AA6" s="17" t="s">
        <v>329</v>
      </c>
      <c r="AB6" s="17" t="s">
        <v>330</v>
      </c>
      <c r="AC6" s="17" t="s">
        <v>331</v>
      </c>
      <c r="AD6" s="17" t="s">
        <v>332</v>
      </c>
      <c r="AE6" s="17" t="s">
        <v>333</v>
      </c>
      <c r="AF6" s="17" t="s">
        <v>334</v>
      </c>
      <c r="AG6" s="17" t="s">
        <v>335</v>
      </c>
      <c r="AH6" s="17" t="s">
        <v>336</v>
      </c>
      <c r="AI6" s="17" t="s">
        <v>337</v>
      </c>
      <c r="AJ6" s="17" t="s">
        <v>338</v>
      </c>
      <c r="AK6" s="17" t="s">
        <v>339</v>
      </c>
      <c r="AL6" s="17" t="s">
        <v>340</v>
      </c>
    </row>
    <row r="7" spans="1:38" ht="31.5" customHeight="1" x14ac:dyDescent="0.2">
      <c r="A7" s="18" t="s">
        <v>295</v>
      </c>
      <c r="B7" s="3"/>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row>
    <row r="8" spans="1:38" ht="32" x14ac:dyDescent="0.2">
      <c r="A8" s="18" t="s">
        <v>296</v>
      </c>
      <c r="B8" s="3"/>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row>
    <row r="9" spans="1:38" x14ac:dyDescent="0.2">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row>
    <row r="10" spans="1:38" ht="16" x14ac:dyDescent="0.2">
      <c r="A10" s="16" t="str">
        <f>A2</f>
        <v>Indicator 18b</v>
      </c>
      <c r="B10" s="3"/>
      <c r="C10" s="17" t="s">
        <v>62</v>
      </c>
      <c r="D10" s="17" t="s">
        <v>63</v>
      </c>
      <c r="E10" s="17" t="s">
        <v>64</v>
      </c>
      <c r="F10" s="17" t="s">
        <v>65</v>
      </c>
      <c r="G10" s="17" t="s">
        <v>62</v>
      </c>
      <c r="H10" s="17" t="s">
        <v>63</v>
      </c>
      <c r="I10" s="17" t="s">
        <v>64</v>
      </c>
      <c r="J10" s="17" t="s">
        <v>65</v>
      </c>
      <c r="K10" s="17" t="s">
        <v>62</v>
      </c>
      <c r="L10" s="17" t="s">
        <v>63</v>
      </c>
      <c r="M10" s="17" t="s">
        <v>64</v>
      </c>
      <c r="N10" s="17" t="s">
        <v>65</v>
      </c>
      <c r="O10" s="17" t="s">
        <v>62</v>
      </c>
      <c r="P10" s="17" t="s">
        <v>63</v>
      </c>
      <c r="Q10" s="17" t="s">
        <v>64</v>
      </c>
      <c r="R10" s="17" t="s">
        <v>65</v>
      </c>
      <c r="S10" s="17" t="s">
        <v>62</v>
      </c>
      <c r="T10" s="17" t="s">
        <v>63</v>
      </c>
      <c r="U10" s="17" t="s">
        <v>64</v>
      </c>
      <c r="V10" s="17" t="s">
        <v>65</v>
      </c>
      <c r="W10" s="17" t="s">
        <v>62</v>
      </c>
      <c r="X10" s="17" t="s">
        <v>63</v>
      </c>
      <c r="Y10" s="17" t="s">
        <v>64</v>
      </c>
      <c r="Z10" s="17" t="s">
        <v>65</v>
      </c>
      <c r="AA10" s="17" t="s">
        <v>62</v>
      </c>
      <c r="AB10" s="17" t="s">
        <v>63</v>
      </c>
      <c r="AC10" s="17" t="s">
        <v>64</v>
      </c>
      <c r="AD10" s="17" t="s">
        <v>65</v>
      </c>
      <c r="AE10" s="17" t="s">
        <v>62</v>
      </c>
      <c r="AF10" s="17" t="s">
        <v>63</v>
      </c>
      <c r="AG10" s="17" t="s">
        <v>64</v>
      </c>
      <c r="AH10" s="17" t="s">
        <v>65</v>
      </c>
      <c r="AI10" s="58" t="s">
        <v>62</v>
      </c>
      <c r="AJ10" s="58" t="s">
        <v>63</v>
      </c>
      <c r="AK10" s="58" t="s">
        <v>64</v>
      </c>
      <c r="AL10" s="58" t="s">
        <v>65</v>
      </c>
    </row>
    <row r="11" spans="1:38" ht="26" x14ac:dyDescent="0.2">
      <c r="A11" s="16"/>
      <c r="B11" s="3"/>
      <c r="C11" s="17" t="s">
        <v>385</v>
      </c>
      <c r="D11" s="17" t="s">
        <v>386</v>
      </c>
      <c r="E11" s="17" t="s">
        <v>387</v>
      </c>
      <c r="F11" s="17" t="s">
        <v>388</v>
      </c>
      <c r="G11" s="17" t="s">
        <v>66</v>
      </c>
      <c r="H11" s="17" t="s">
        <v>67</v>
      </c>
      <c r="I11" s="17" t="s">
        <v>68</v>
      </c>
      <c r="J11" s="17" t="s">
        <v>69</v>
      </c>
      <c r="K11" s="17" t="s">
        <v>70</v>
      </c>
      <c r="L11" s="17" t="s">
        <v>71</v>
      </c>
      <c r="M11" s="17" t="s">
        <v>72</v>
      </c>
      <c r="N11" s="17" t="s">
        <v>73</v>
      </c>
      <c r="O11" s="17" t="s">
        <v>74</v>
      </c>
      <c r="P11" s="17" t="s">
        <v>75</v>
      </c>
      <c r="Q11" s="17" t="s">
        <v>76</v>
      </c>
      <c r="R11" s="17" t="s">
        <v>77</v>
      </c>
      <c r="S11" s="58" t="s">
        <v>321</v>
      </c>
      <c r="T11" s="17" t="s">
        <v>322</v>
      </c>
      <c r="U11" s="17" t="s">
        <v>323</v>
      </c>
      <c r="V11" s="17" t="s">
        <v>324</v>
      </c>
      <c r="W11" s="58" t="s">
        <v>325</v>
      </c>
      <c r="X11" s="17" t="s">
        <v>326</v>
      </c>
      <c r="Y11" s="17" t="s">
        <v>327</v>
      </c>
      <c r="Z11" s="17" t="s">
        <v>328</v>
      </c>
      <c r="AA11" s="17" t="s">
        <v>329</v>
      </c>
      <c r="AB11" s="17" t="s">
        <v>330</v>
      </c>
      <c r="AC11" s="17" t="s">
        <v>331</v>
      </c>
      <c r="AD11" s="17" t="s">
        <v>332</v>
      </c>
      <c r="AE11" s="17" t="s">
        <v>333</v>
      </c>
      <c r="AF11" s="17" t="s">
        <v>334</v>
      </c>
      <c r="AG11" s="17" t="s">
        <v>335</v>
      </c>
      <c r="AH11" s="17" t="s">
        <v>336</v>
      </c>
      <c r="AI11" s="17" t="s">
        <v>337</v>
      </c>
      <c r="AJ11" s="17" t="s">
        <v>338</v>
      </c>
      <c r="AK11" s="17" t="s">
        <v>339</v>
      </c>
      <c r="AL11" s="17" t="s">
        <v>340</v>
      </c>
    </row>
    <row r="12" spans="1:38" ht="31.5" customHeight="1" x14ac:dyDescent="0.2">
      <c r="A12" s="18" t="s">
        <v>297</v>
      </c>
      <c r="B12" s="3"/>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row>
    <row r="13" spans="1:38" ht="15.75" customHeight="1" x14ac:dyDescent="0.2">
      <c r="A13" s="24"/>
      <c r="B13" s="3"/>
      <c r="C13" s="25"/>
      <c r="D13" s="25"/>
      <c r="E13" s="25"/>
      <c r="F13" s="25"/>
      <c r="G13" s="25"/>
      <c r="H13" s="25"/>
      <c r="I13" s="25"/>
      <c r="J13" s="25"/>
      <c r="K13" s="25"/>
      <c r="L13" s="25"/>
      <c r="M13" s="25"/>
      <c r="N13" s="25"/>
      <c r="O13" s="3"/>
      <c r="P13" s="3"/>
      <c r="Q13" s="3"/>
      <c r="R13" s="3"/>
      <c r="S13" s="3"/>
      <c r="T13" s="3"/>
      <c r="U13" s="3"/>
      <c r="V13" s="3"/>
      <c r="W13" s="3"/>
      <c r="X13" s="3"/>
      <c r="Y13" s="3"/>
      <c r="Z13" s="3"/>
      <c r="AA13" s="3"/>
      <c r="AB13" s="3"/>
      <c r="AC13" s="3"/>
      <c r="AD13" s="3"/>
      <c r="AE13" s="3"/>
      <c r="AF13" s="3"/>
      <c r="AG13" s="3"/>
      <c r="AH13" s="3"/>
      <c r="AI13" s="3"/>
      <c r="AJ13" s="3"/>
      <c r="AK13" s="3"/>
      <c r="AL13" s="3"/>
    </row>
    <row r="14" spans="1:38" ht="15.75" customHeight="1" x14ac:dyDescent="0.2">
      <c r="A14" s="15" t="s">
        <v>115</v>
      </c>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row>
    <row r="15" spans="1:38" ht="111.75" customHeight="1" x14ac:dyDescent="0.2">
      <c r="A15" s="4" t="s">
        <v>116</v>
      </c>
      <c r="B15" s="3"/>
      <c r="C15" s="85"/>
      <c r="D15" s="86"/>
      <c r="E15" s="86"/>
      <c r="F15" s="86"/>
      <c r="G15" s="86"/>
      <c r="H15" s="86"/>
      <c r="I15" s="86"/>
      <c r="J15" s="86"/>
      <c r="K15" s="86"/>
      <c r="L15" s="86"/>
      <c r="M15" s="86"/>
      <c r="N15" s="86"/>
      <c r="O15" s="86"/>
      <c r="P15" s="86"/>
      <c r="Q15" s="86"/>
      <c r="R15" s="86"/>
      <c r="S15" s="86"/>
      <c r="T15" s="87"/>
      <c r="U15" s="3"/>
      <c r="V15" s="3"/>
      <c r="W15" s="3"/>
      <c r="X15" s="3"/>
      <c r="Y15" s="3"/>
      <c r="Z15" s="3"/>
      <c r="AA15" s="3"/>
      <c r="AB15" s="3"/>
      <c r="AC15" s="3"/>
      <c r="AD15" s="3"/>
      <c r="AE15" s="3"/>
      <c r="AF15" s="3"/>
      <c r="AG15" s="3"/>
      <c r="AH15" s="3"/>
      <c r="AI15" s="3"/>
      <c r="AJ15" s="3"/>
      <c r="AK15" s="3"/>
      <c r="AL15" s="3"/>
    </row>
    <row r="16" spans="1:38" ht="31.5" customHeight="1" x14ac:dyDescent="0.2">
      <c r="A16" s="24"/>
      <c r="B16" s="3"/>
      <c r="C16" s="25"/>
      <c r="D16" s="25"/>
      <c r="E16" s="25"/>
      <c r="F16" s="25"/>
      <c r="G16" s="25"/>
      <c r="H16" s="25"/>
      <c r="I16" s="25"/>
      <c r="J16" s="25"/>
      <c r="K16" s="25"/>
      <c r="L16" s="25"/>
      <c r="M16" s="25"/>
      <c r="N16" s="25"/>
      <c r="O16" s="3"/>
      <c r="P16" s="3"/>
      <c r="Q16" s="3"/>
      <c r="R16" s="3"/>
      <c r="S16" s="3"/>
      <c r="T16" s="3"/>
      <c r="U16" s="3"/>
      <c r="V16" s="3"/>
      <c r="W16" s="3"/>
      <c r="X16" s="3"/>
      <c r="Y16" s="3"/>
      <c r="Z16" s="3"/>
      <c r="AA16" s="3"/>
      <c r="AB16" s="3"/>
      <c r="AC16" s="3"/>
      <c r="AD16" s="3"/>
      <c r="AE16" s="3"/>
      <c r="AF16" s="3"/>
      <c r="AG16" s="3"/>
      <c r="AH16" s="3"/>
      <c r="AI16" s="3"/>
      <c r="AJ16" s="3"/>
      <c r="AK16" s="3"/>
      <c r="AL16" s="3"/>
    </row>
    <row r="17" spans="1:38" ht="31.5" customHeight="1" x14ac:dyDescent="0.2">
      <c r="A17" s="15" t="s">
        <v>320</v>
      </c>
      <c r="B17" s="3"/>
      <c r="C17" s="25"/>
      <c r="D17" s="25"/>
      <c r="E17" s="25"/>
      <c r="F17" s="25"/>
      <c r="G17" s="25"/>
      <c r="H17" s="25"/>
      <c r="I17" s="25"/>
      <c r="J17" s="25"/>
      <c r="K17" s="25"/>
      <c r="L17" s="25"/>
      <c r="M17" s="25"/>
      <c r="N17" s="25"/>
      <c r="O17" s="3"/>
      <c r="P17" s="3"/>
      <c r="Q17" s="3"/>
      <c r="R17" s="3"/>
      <c r="S17" s="3"/>
      <c r="T17" s="3"/>
      <c r="U17" s="3"/>
      <c r="V17" s="3"/>
      <c r="W17" s="3"/>
      <c r="X17" s="3"/>
      <c r="Y17" s="3"/>
      <c r="Z17" s="3"/>
      <c r="AA17" s="3"/>
      <c r="AB17" s="3"/>
      <c r="AC17" s="3"/>
      <c r="AD17" s="3"/>
      <c r="AE17" s="3"/>
      <c r="AF17" s="3"/>
      <c r="AG17" s="3"/>
      <c r="AH17" s="3"/>
      <c r="AI17" s="3"/>
      <c r="AJ17" s="3"/>
      <c r="AK17" s="3"/>
      <c r="AL17" s="3"/>
    </row>
    <row r="18" spans="1:38" ht="31.5" customHeight="1" x14ac:dyDescent="0.2">
      <c r="A18" s="24"/>
      <c r="B18" s="3"/>
      <c r="C18" s="25"/>
      <c r="D18" s="25"/>
      <c r="E18" s="25"/>
      <c r="F18" s="25"/>
      <c r="G18" s="25"/>
      <c r="H18" s="25"/>
      <c r="I18" s="25"/>
      <c r="J18" s="25"/>
      <c r="K18" s="25"/>
      <c r="L18" s="25"/>
      <c r="M18" s="25"/>
      <c r="N18" s="25"/>
      <c r="O18" s="3"/>
      <c r="P18" s="3"/>
      <c r="Q18" s="3"/>
      <c r="R18" s="3"/>
      <c r="S18" s="3"/>
      <c r="T18" s="3"/>
      <c r="U18" s="3"/>
      <c r="V18" s="3"/>
      <c r="W18" s="3"/>
      <c r="X18" s="3"/>
      <c r="Y18" s="3"/>
      <c r="Z18" s="3"/>
      <c r="AA18" s="3"/>
      <c r="AB18" s="3"/>
      <c r="AC18" s="3"/>
      <c r="AD18" s="3"/>
      <c r="AE18" s="3"/>
      <c r="AF18" s="3"/>
      <c r="AG18" s="3"/>
      <c r="AH18" s="3"/>
      <c r="AI18" s="3"/>
      <c r="AJ18" s="3"/>
      <c r="AK18" s="3"/>
      <c r="AL18" s="3"/>
    </row>
    <row r="19" spans="1:38" ht="232" customHeight="1" x14ac:dyDescent="0.2">
      <c r="A19" s="24"/>
      <c r="B19" s="3"/>
      <c r="C19" s="25"/>
      <c r="D19" s="25"/>
      <c r="E19" s="25"/>
      <c r="F19" s="25"/>
      <c r="G19" s="25"/>
      <c r="H19" s="25"/>
      <c r="I19" s="25"/>
      <c r="J19" s="25"/>
      <c r="K19" s="25"/>
      <c r="L19" s="25"/>
      <c r="M19" s="25"/>
      <c r="N19" s="25"/>
      <c r="O19" s="3"/>
      <c r="P19" s="3"/>
      <c r="Q19" s="3"/>
      <c r="R19" s="3"/>
      <c r="S19" s="3"/>
      <c r="T19" s="3"/>
      <c r="U19" s="3"/>
      <c r="V19" s="3"/>
      <c r="W19" s="3"/>
      <c r="X19" s="3"/>
      <c r="Y19" s="3"/>
      <c r="Z19" s="3"/>
      <c r="AA19" s="3"/>
      <c r="AB19" s="3"/>
      <c r="AC19" s="3"/>
      <c r="AD19" s="3"/>
      <c r="AE19" s="3"/>
      <c r="AF19" s="3"/>
      <c r="AG19" s="3"/>
      <c r="AH19" s="3"/>
      <c r="AI19" s="3"/>
      <c r="AJ19" s="3"/>
      <c r="AK19" s="3"/>
      <c r="AL19" s="3"/>
    </row>
    <row r="20" spans="1:38" ht="39" customHeight="1" x14ac:dyDescent="0.2">
      <c r="A20" s="24"/>
      <c r="B20" s="3"/>
      <c r="C20" s="25"/>
      <c r="D20" s="25"/>
      <c r="E20" s="25"/>
      <c r="F20" s="25"/>
      <c r="G20" s="25"/>
      <c r="H20" s="25"/>
      <c r="I20" s="25"/>
      <c r="J20" s="25"/>
      <c r="K20" s="25"/>
      <c r="L20" s="25"/>
      <c r="M20" s="25"/>
      <c r="N20" s="25"/>
      <c r="O20" s="3"/>
      <c r="P20" s="3"/>
      <c r="Q20" s="3"/>
      <c r="R20" s="3"/>
      <c r="S20" s="3"/>
      <c r="T20" s="3"/>
      <c r="U20" s="3"/>
      <c r="V20" s="3"/>
      <c r="W20" s="3"/>
      <c r="X20" s="3"/>
      <c r="Y20" s="3"/>
      <c r="Z20" s="3"/>
      <c r="AA20" s="3"/>
      <c r="AB20" s="3"/>
      <c r="AC20" s="3"/>
      <c r="AD20" s="3"/>
      <c r="AE20" s="3"/>
      <c r="AF20" s="3"/>
      <c r="AG20" s="3"/>
      <c r="AH20" s="3"/>
      <c r="AI20" s="3"/>
      <c r="AJ20" s="3"/>
      <c r="AK20" s="3"/>
      <c r="AL20" s="3"/>
    </row>
    <row r="21" spans="1:38" ht="31.5" customHeight="1" x14ac:dyDescent="0.2">
      <c r="A21" s="29"/>
      <c r="B21" s="29"/>
      <c r="C21" s="29"/>
      <c r="D21" s="29"/>
      <c r="E21" s="29"/>
      <c r="F21" s="29"/>
      <c r="G21" s="29"/>
      <c r="H21" s="29"/>
      <c r="I21" s="29"/>
      <c r="J21" s="29"/>
      <c r="K21" s="29"/>
      <c r="L21" s="29"/>
      <c r="M21" s="29"/>
      <c r="N21" s="29"/>
      <c r="O21" s="29"/>
      <c r="P21" s="29"/>
      <c r="Q21" s="29"/>
      <c r="R21" s="29"/>
      <c r="S21" s="29"/>
      <c r="T21" s="29"/>
      <c r="U21" s="3"/>
      <c r="V21" s="3"/>
      <c r="W21" s="3"/>
      <c r="X21" s="3"/>
      <c r="Y21" s="3"/>
      <c r="Z21" s="3"/>
      <c r="AA21" s="3"/>
      <c r="AB21" s="3"/>
      <c r="AC21" s="3"/>
      <c r="AD21" s="3"/>
      <c r="AE21" s="3"/>
      <c r="AF21" s="3"/>
      <c r="AG21" s="3"/>
      <c r="AH21" s="3"/>
      <c r="AI21" s="3"/>
      <c r="AJ21" s="3"/>
      <c r="AK21" s="3"/>
      <c r="AL21" s="3"/>
    </row>
    <row r="22" spans="1:38" ht="17.25" customHeight="1" x14ac:dyDescent="0.2">
      <c r="A22" s="15" t="s">
        <v>117</v>
      </c>
      <c r="B22" s="3"/>
      <c r="C22" s="25"/>
      <c r="D22" s="25"/>
      <c r="E22" s="25"/>
      <c r="F22" s="25"/>
      <c r="G22" s="25"/>
      <c r="H22" s="25"/>
      <c r="I22" s="25"/>
      <c r="J22" s="25"/>
      <c r="K22" s="25"/>
      <c r="L22" s="25"/>
      <c r="M22" s="25"/>
      <c r="N22" s="25"/>
      <c r="O22" s="3"/>
      <c r="P22" s="3"/>
      <c r="Q22" s="3"/>
      <c r="R22" s="3"/>
      <c r="S22" s="3"/>
      <c r="T22" s="3"/>
      <c r="U22" s="3"/>
      <c r="V22" s="3"/>
      <c r="W22" s="3"/>
      <c r="X22" s="3"/>
      <c r="Y22" s="3"/>
      <c r="Z22" s="3"/>
      <c r="AA22" s="3"/>
      <c r="AB22" s="3"/>
      <c r="AC22" s="3"/>
      <c r="AD22" s="3"/>
      <c r="AE22" s="3"/>
      <c r="AF22" s="3"/>
      <c r="AG22" s="3"/>
      <c r="AH22" s="3"/>
      <c r="AI22" s="3"/>
      <c r="AJ22" s="3"/>
      <c r="AK22" s="3"/>
      <c r="AL22" s="3"/>
    </row>
    <row r="23" spans="1:38" ht="55.5" customHeight="1" x14ac:dyDescent="0.2">
      <c r="A23" s="31" t="str">
        <f>A1&amp;" – "&amp;A2</f>
        <v>Indicator 18a – Indicator 18b</v>
      </c>
      <c r="B23" s="3"/>
      <c r="C23" s="82" t="s">
        <v>298</v>
      </c>
      <c r="D23" s="83"/>
      <c r="E23" s="83"/>
      <c r="F23" s="83"/>
      <c r="G23" s="83"/>
      <c r="H23" s="83"/>
      <c r="I23" s="83"/>
      <c r="J23" s="83"/>
      <c r="K23" s="83"/>
      <c r="L23" s="83"/>
      <c r="M23" s="83"/>
      <c r="N23" s="83"/>
      <c r="O23" s="3"/>
      <c r="P23" s="3"/>
      <c r="Q23" s="3"/>
      <c r="R23" s="3"/>
      <c r="S23" s="3"/>
      <c r="T23" s="3"/>
      <c r="U23" s="3"/>
      <c r="V23" s="3"/>
      <c r="W23" s="3"/>
      <c r="X23" s="3"/>
      <c r="Y23" s="3"/>
      <c r="Z23" s="3"/>
      <c r="AA23" s="3"/>
      <c r="AB23" s="3"/>
      <c r="AC23" s="3"/>
      <c r="AD23" s="3"/>
      <c r="AE23" s="3"/>
      <c r="AF23" s="3"/>
      <c r="AG23" s="3"/>
      <c r="AH23" s="3"/>
      <c r="AI23" s="3"/>
      <c r="AJ23" s="3"/>
      <c r="AK23" s="3"/>
      <c r="AL23" s="3"/>
    </row>
    <row r="24" spans="1:38" ht="15.75" customHeight="1" x14ac:dyDescent="0.2">
      <c r="A24" s="3"/>
      <c r="B24" s="3"/>
      <c r="C24" s="32"/>
      <c r="D24" s="32"/>
      <c r="E24" s="32"/>
      <c r="F24" s="32"/>
      <c r="G24" s="32"/>
      <c r="H24" s="32"/>
      <c r="I24" s="32"/>
      <c r="J24" s="32"/>
      <c r="K24" s="32"/>
      <c r="L24" s="32"/>
      <c r="M24" s="32"/>
      <c r="N24" s="32"/>
      <c r="O24" s="3"/>
      <c r="P24" s="3"/>
      <c r="Q24" s="3"/>
      <c r="R24" s="3"/>
      <c r="S24" s="3"/>
      <c r="T24" s="3"/>
      <c r="U24" s="3"/>
      <c r="V24" s="3"/>
      <c r="W24" s="3"/>
      <c r="X24" s="3"/>
      <c r="Y24" s="3"/>
      <c r="Z24" s="3"/>
      <c r="AA24" s="3"/>
      <c r="AB24" s="3"/>
      <c r="AC24" s="3"/>
      <c r="AD24" s="3"/>
      <c r="AE24" s="3"/>
      <c r="AF24" s="3"/>
      <c r="AG24" s="3"/>
      <c r="AH24" s="3"/>
      <c r="AI24" s="3"/>
      <c r="AJ24" s="3"/>
      <c r="AK24" s="3"/>
      <c r="AL24" s="3"/>
    </row>
    <row r="25" spans="1:38" ht="17.25" customHeight="1" x14ac:dyDescent="0.2">
      <c r="A25" s="15" t="s">
        <v>119</v>
      </c>
      <c r="B25" s="3"/>
      <c r="C25" s="32"/>
      <c r="D25" s="32"/>
      <c r="E25" s="32"/>
      <c r="F25" s="32"/>
      <c r="G25" s="32"/>
      <c r="H25" s="32"/>
      <c r="I25" s="32"/>
      <c r="J25" s="32"/>
      <c r="K25" s="32"/>
      <c r="L25" s="32"/>
      <c r="M25" s="32"/>
      <c r="N25" s="32"/>
      <c r="O25" s="3"/>
      <c r="P25" s="3"/>
      <c r="Q25" s="3"/>
      <c r="R25" s="3"/>
      <c r="S25" s="3"/>
      <c r="T25" s="3"/>
      <c r="U25" s="3"/>
      <c r="V25" s="3"/>
      <c r="W25" s="3"/>
      <c r="X25" s="3"/>
      <c r="Y25" s="3"/>
      <c r="Z25" s="3"/>
      <c r="AA25" s="3"/>
      <c r="AB25" s="3"/>
      <c r="AC25" s="3"/>
      <c r="AD25" s="3"/>
      <c r="AE25" s="3"/>
      <c r="AF25" s="3"/>
      <c r="AG25" s="3"/>
      <c r="AH25" s="3"/>
      <c r="AI25" s="3"/>
      <c r="AJ25" s="3"/>
      <c r="AK25" s="3"/>
      <c r="AL25" s="3"/>
    </row>
    <row r="26" spans="1:38" ht="226.5" customHeight="1" x14ac:dyDescent="0.2">
      <c r="A26" s="41" t="s">
        <v>299</v>
      </c>
      <c r="B26" s="3"/>
      <c r="C26" s="108" t="s">
        <v>300</v>
      </c>
      <c r="D26" s="83"/>
      <c r="E26" s="83"/>
      <c r="F26" s="83"/>
      <c r="G26" s="83"/>
      <c r="H26" s="83"/>
      <c r="I26" s="83"/>
      <c r="J26" s="83"/>
      <c r="K26" s="83"/>
      <c r="L26" s="83"/>
      <c r="M26" s="83"/>
      <c r="N26" s="83"/>
      <c r="O26" s="3"/>
      <c r="P26" s="3"/>
      <c r="Q26" s="3"/>
      <c r="R26" s="3"/>
      <c r="S26" s="3"/>
      <c r="T26" s="3"/>
      <c r="U26" s="3"/>
      <c r="V26" s="3"/>
      <c r="W26" s="3"/>
      <c r="X26" s="3"/>
      <c r="Y26" s="3"/>
      <c r="Z26" s="3"/>
      <c r="AA26" s="3"/>
      <c r="AB26" s="3"/>
      <c r="AC26" s="3"/>
      <c r="AD26" s="3"/>
      <c r="AE26" s="3"/>
      <c r="AF26" s="3"/>
      <c r="AG26" s="3"/>
      <c r="AH26" s="3"/>
      <c r="AI26" s="3"/>
      <c r="AJ26" s="3"/>
      <c r="AK26" s="3"/>
      <c r="AL26" s="3"/>
    </row>
    <row r="27" spans="1:38" ht="31.5" customHeight="1" x14ac:dyDescent="0.2">
      <c r="A27" s="31" t="s">
        <v>301</v>
      </c>
      <c r="B27" s="3"/>
      <c r="C27" s="82" t="s">
        <v>298</v>
      </c>
      <c r="D27" s="83"/>
      <c r="E27" s="83"/>
      <c r="F27" s="83"/>
      <c r="G27" s="83"/>
      <c r="H27" s="83"/>
      <c r="I27" s="83"/>
      <c r="J27" s="83"/>
      <c r="K27" s="83"/>
      <c r="L27" s="83"/>
      <c r="M27" s="83"/>
      <c r="N27" s="83"/>
      <c r="O27" s="3"/>
      <c r="P27" s="3"/>
      <c r="Q27" s="3"/>
      <c r="R27" s="3"/>
      <c r="S27" s="3"/>
      <c r="T27" s="3"/>
      <c r="U27" s="3"/>
      <c r="V27" s="3"/>
      <c r="W27" s="3"/>
      <c r="X27" s="3"/>
      <c r="Y27" s="3"/>
      <c r="Z27" s="3"/>
      <c r="AA27" s="3"/>
      <c r="AB27" s="3"/>
      <c r="AC27" s="3"/>
      <c r="AD27" s="3"/>
      <c r="AE27" s="3"/>
      <c r="AF27" s="3"/>
      <c r="AG27" s="3"/>
      <c r="AH27" s="3"/>
      <c r="AI27" s="3"/>
      <c r="AJ27" s="3"/>
      <c r="AK27" s="3"/>
      <c r="AL27" s="3"/>
    </row>
    <row r="28" spans="1:38" ht="15.75" customHeight="1" x14ac:dyDescent="0.2">
      <c r="A28" s="3"/>
      <c r="B28" s="3"/>
      <c r="C28" s="32"/>
      <c r="D28" s="32"/>
      <c r="E28" s="32"/>
      <c r="F28" s="32"/>
      <c r="G28" s="32"/>
      <c r="H28" s="32"/>
      <c r="I28" s="32"/>
      <c r="J28" s="32"/>
      <c r="K28" s="32"/>
      <c r="L28" s="32"/>
      <c r="M28" s="32"/>
      <c r="N28" s="32"/>
      <c r="O28" s="3"/>
      <c r="P28" s="3"/>
      <c r="Q28" s="3"/>
      <c r="R28" s="3"/>
      <c r="S28" s="3"/>
      <c r="T28" s="3"/>
      <c r="U28" s="3"/>
      <c r="V28" s="3"/>
      <c r="W28" s="3"/>
      <c r="X28" s="3"/>
      <c r="Y28" s="3"/>
      <c r="Z28" s="3"/>
      <c r="AA28" s="3"/>
      <c r="AB28" s="3"/>
      <c r="AC28" s="3"/>
      <c r="AD28" s="3"/>
      <c r="AE28" s="3"/>
      <c r="AF28" s="3"/>
      <c r="AG28" s="3"/>
      <c r="AH28" s="3"/>
      <c r="AI28" s="3"/>
      <c r="AJ28" s="3"/>
      <c r="AK28" s="3"/>
      <c r="AL28" s="3"/>
    </row>
    <row r="29" spans="1:38" ht="15.75" customHeight="1" x14ac:dyDescent="0.2">
      <c r="A29" s="15" t="s">
        <v>142</v>
      </c>
      <c r="B29" s="3"/>
      <c r="C29" s="32"/>
      <c r="D29" s="32"/>
      <c r="E29" s="32"/>
      <c r="F29" s="32"/>
      <c r="G29" s="32"/>
      <c r="H29" s="32"/>
      <c r="I29" s="32"/>
      <c r="J29" s="32"/>
      <c r="K29" s="32"/>
      <c r="L29" s="32"/>
      <c r="M29" s="32"/>
      <c r="N29" s="32"/>
      <c r="O29" s="3"/>
      <c r="P29" s="3"/>
      <c r="Q29" s="3"/>
      <c r="R29" s="3"/>
      <c r="S29" s="3"/>
      <c r="T29" s="3"/>
      <c r="U29" s="3"/>
      <c r="V29" s="3"/>
      <c r="W29" s="3"/>
      <c r="X29" s="3"/>
      <c r="Y29" s="3"/>
      <c r="Z29" s="3"/>
      <c r="AA29" s="3"/>
      <c r="AB29" s="3"/>
      <c r="AC29" s="3"/>
      <c r="AD29" s="3"/>
      <c r="AE29" s="3"/>
      <c r="AF29" s="3"/>
      <c r="AG29" s="3"/>
      <c r="AH29" s="3"/>
      <c r="AI29" s="3"/>
      <c r="AJ29" s="3"/>
      <c r="AK29" s="3"/>
      <c r="AL29" s="3"/>
    </row>
    <row r="30" spans="1:38" ht="15.75" customHeight="1" x14ac:dyDescent="0.2">
      <c r="A30" s="31" t="str">
        <f>A1&amp;" – "&amp;A2</f>
        <v>Indicator 18a – Indicator 18b</v>
      </c>
      <c r="B30" s="3"/>
      <c r="C30" s="82" t="s">
        <v>143</v>
      </c>
      <c r="D30" s="83"/>
      <c r="E30" s="83"/>
      <c r="F30" s="83"/>
      <c r="G30" s="83"/>
      <c r="H30" s="83"/>
      <c r="I30" s="83"/>
      <c r="J30" s="83"/>
      <c r="K30" s="83"/>
      <c r="L30" s="83"/>
      <c r="M30" s="83"/>
      <c r="N30" s="83"/>
      <c r="O30" s="3"/>
      <c r="P30" s="3"/>
      <c r="Q30" s="3"/>
      <c r="R30" s="3"/>
      <c r="S30" s="3"/>
      <c r="T30" s="3"/>
      <c r="U30" s="3"/>
      <c r="V30" s="3"/>
      <c r="W30" s="3"/>
      <c r="X30" s="3"/>
      <c r="Y30" s="3"/>
      <c r="Z30" s="3"/>
      <c r="AA30" s="3"/>
      <c r="AB30" s="3"/>
      <c r="AC30" s="3"/>
      <c r="AD30" s="3"/>
      <c r="AE30" s="3"/>
      <c r="AF30" s="3"/>
      <c r="AG30" s="3"/>
      <c r="AH30" s="3"/>
      <c r="AI30" s="3"/>
      <c r="AJ30" s="3"/>
      <c r="AK30" s="3"/>
      <c r="AL30" s="3"/>
    </row>
    <row r="31" spans="1:38" ht="15.75" customHeight="1" x14ac:dyDescent="0.2">
      <c r="A31" s="3"/>
      <c r="B31" s="3"/>
      <c r="C31" s="32"/>
      <c r="D31" s="32"/>
      <c r="E31" s="32"/>
      <c r="F31" s="32"/>
      <c r="G31" s="32"/>
      <c r="H31" s="32"/>
      <c r="I31" s="32"/>
      <c r="J31" s="32"/>
      <c r="K31" s="32"/>
      <c r="L31" s="32"/>
      <c r="M31" s="32"/>
      <c r="N31" s="32"/>
      <c r="O31" s="3"/>
      <c r="P31" s="3"/>
      <c r="Q31" s="3"/>
      <c r="R31" s="3"/>
      <c r="S31" s="3"/>
      <c r="T31" s="3"/>
      <c r="U31" s="3"/>
      <c r="V31" s="3"/>
      <c r="W31" s="3"/>
      <c r="X31" s="3"/>
      <c r="Y31" s="3"/>
      <c r="Z31" s="3"/>
      <c r="AA31" s="3"/>
      <c r="AB31" s="3"/>
      <c r="AC31" s="3"/>
      <c r="AD31" s="3"/>
      <c r="AE31" s="3"/>
      <c r="AF31" s="3"/>
      <c r="AG31" s="3"/>
      <c r="AH31" s="3"/>
      <c r="AI31" s="3"/>
      <c r="AJ31" s="3"/>
      <c r="AK31" s="3"/>
      <c r="AL31" s="3"/>
    </row>
    <row r="32" spans="1:38" ht="15.75" customHeight="1" x14ac:dyDescent="0.2">
      <c r="A32" s="15" t="s">
        <v>144</v>
      </c>
      <c r="B32" s="3"/>
      <c r="C32" s="32"/>
      <c r="D32" s="32"/>
      <c r="E32" s="32"/>
      <c r="F32" s="32"/>
      <c r="G32" s="32"/>
      <c r="H32" s="32"/>
      <c r="I32" s="32"/>
      <c r="J32" s="32"/>
      <c r="K32" s="32"/>
      <c r="L32" s="32"/>
      <c r="M32" s="32"/>
      <c r="N32" s="32"/>
      <c r="O32" s="3"/>
      <c r="P32" s="3"/>
      <c r="Q32" s="3"/>
      <c r="R32" s="3"/>
      <c r="S32" s="3"/>
      <c r="T32" s="3"/>
      <c r="U32" s="3"/>
      <c r="V32" s="3"/>
      <c r="W32" s="3"/>
      <c r="X32" s="3"/>
      <c r="Y32" s="3"/>
      <c r="Z32" s="3"/>
      <c r="AA32" s="3"/>
      <c r="AB32" s="3"/>
      <c r="AC32" s="3"/>
      <c r="AD32" s="3"/>
      <c r="AE32" s="3"/>
      <c r="AF32" s="3"/>
      <c r="AG32" s="3"/>
      <c r="AH32" s="3"/>
      <c r="AI32" s="3"/>
      <c r="AJ32" s="3"/>
      <c r="AK32" s="3"/>
      <c r="AL32" s="3"/>
    </row>
    <row r="33" spans="1:38" ht="72" customHeight="1" x14ac:dyDescent="0.2">
      <c r="A33" s="31" t="str">
        <f>A1&amp;" – "&amp;A2</f>
        <v>Indicator 18a – Indicator 18b</v>
      </c>
      <c r="B33" s="3"/>
      <c r="C33" s="82" t="s">
        <v>298</v>
      </c>
      <c r="D33" s="83"/>
      <c r="E33" s="83"/>
      <c r="F33" s="83"/>
      <c r="G33" s="83"/>
      <c r="H33" s="83"/>
      <c r="I33" s="83"/>
      <c r="J33" s="83"/>
      <c r="K33" s="83"/>
      <c r="L33" s="83"/>
      <c r="M33" s="83"/>
      <c r="N33" s="83"/>
      <c r="O33" s="36"/>
      <c r="P33" s="36"/>
      <c r="Q33" s="36"/>
      <c r="R33" s="36"/>
      <c r="S33" s="36"/>
      <c r="T33" s="36"/>
      <c r="U33" s="36"/>
      <c r="V33" s="36"/>
      <c r="W33" s="36"/>
      <c r="X33" s="36"/>
      <c r="Y33" s="36"/>
      <c r="Z33" s="36"/>
      <c r="AA33" s="36"/>
      <c r="AB33" s="36"/>
      <c r="AC33" s="36"/>
      <c r="AD33" s="36"/>
      <c r="AE33" s="36"/>
      <c r="AF33" s="36"/>
      <c r="AG33" s="36"/>
      <c r="AH33" s="36"/>
      <c r="AI33" s="3"/>
      <c r="AJ33" s="3"/>
      <c r="AK33" s="3"/>
      <c r="AL33" s="3"/>
    </row>
    <row r="34" spans="1:38" ht="15" customHeight="1" x14ac:dyDescent="0.2">
      <c r="A34" s="3"/>
      <c r="B34" s="3"/>
      <c r="C34" s="32"/>
      <c r="D34" s="32"/>
      <c r="E34" s="32"/>
      <c r="F34" s="32"/>
      <c r="G34" s="32"/>
      <c r="H34" s="32"/>
      <c r="I34" s="32"/>
      <c r="J34" s="32"/>
      <c r="K34" s="32"/>
      <c r="L34" s="32"/>
      <c r="M34" s="32"/>
      <c r="N34" s="32"/>
      <c r="O34" s="3"/>
      <c r="P34" s="3"/>
      <c r="Q34" s="3"/>
      <c r="R34" s="3"/>
      <c r="S34" s="3"/>
      <c r="T34" s="3"/>
      <c r="U34" s="3"/>
      <c r="V34" s="3"/>
      <c r="W34" s="3"/>
      <c r="X34" s="3"/>
      <c r="Y34" s="3"/>
      <c r="Z34" s="3"/>
      <c r="AA34" s="3"/>
      <c r="AB34" s="3"/>
      <c r="AC34" s="3"/>
      <c r="AD34" s="3"/>
      <c r="AE34" s="3"/>
      <c r="AF34" s="3"/>
      <c r="AG34" s="3"/>
      <c r="AH34" s="3"/>
      <c r="AI34" s="3"/>
      <c r="AJ34" s="3"/>
      <c r="AK34" s="3"/>
      <c r="AL34" s="3"/>
    </row>
    <row r="35" spans="1:38" ht="15.75" customHeight="1" x14ac:dyDescent="0.2">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row>
    <row r="36" spans="1:38" ht="15.75" customHeight="1" x14ac:dyDescent="0.2">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row>
    <row r="37" spans="1:38" ht="15.75" customHeight="1"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row>
    <row r="38" spans="1:38" ht="15.75" customHeight="1" x14ac:dyDescent="0.2">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row>
    <row r="39" spans="1:38" ht="15.75" customHeight="1"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row>
    <row r="40" spans="1:38" ht="15.75" customHeight="1" x14ac:dyDescent="0.2">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row>
    <row r="41" spans="1:38" ht="15.75" customHeight="1" x14ac:dyDescent="0.2">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row>
    <row r="42" spans="1:38" ht="15.75" customHeight="1" x14ac:dyDescent="0.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row>
    <row r="43" spans="1:38" ht="15.7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row>
    <row r="44" spans="1:38" ht="15.7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row>
    <row r="45" spans="1:38" ht="15.7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row>
    <row r="46" spans="1:38"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row>
    <row r="47" spans="1:38"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row>
    <row r="48" spans="1:38"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row>
    <row r="49" spans="1:38"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row>
    <row r="50" spans="1:38"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row>
    <row r="51" spans="1:38"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row>
    <row r="52" spans="1:38"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row>
    <row r="53" spans="1:38"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row>
    <row r="54" spans="1:38"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row>
    <row r="55" spans="1:38"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row>
    <row r="56" spans="1:38"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row>
    <row r="57" spans="1:38"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row>
    <row r="58" spans="1:38"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row>
    <row r="59" spans="1:38"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row>
    <row r="60" spans="1:38"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row>
    <row r="61" spans="1:38"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row>
    <row r="62" spans="1:38"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row>
    <row r="63" spans="1:38"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row>
    <row r="64" spans="1:38"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row>
    <row r="65" spans="1:38"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row>
    <row r="66" spans="1:38"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row>
    <row r="67" spans="1:38"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row>
    <row r="68" spans="1:38"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row>
    <row r="69" spans="1:38"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row>
    <row r="70" spans="1:38"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row>
    <row r="71" spans="1:38" ht="15.7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row>
    <row r="72" spans="1:38" ht="15.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row>
    <row r="73" spans="1:38"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row>
    <row r="74" spans="1:38"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row>
    <row r="75" spans="1:38"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row>
    <row r="76" spans="1:38"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row>
    <row r="77" spans="1:38"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row>
    <row r="78" spans="1:38"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row>
    <row r="79" spans="1:38"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row>
    <row r="80" spans="1:38"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row>
    <row r="81" spans="1:38"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row>
    <row r="82" spans="1:38"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row>
    <row r="83" spans="1:38"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row>
    <row r="84" spans="1:38"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row>
    <row r="85" spans="1:38"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row>
    <row r="86" spans="1:38"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row>
    <row r="87" spans="1:38"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row>
    <row r="88" spans="1:38"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row>
    <row r="89" spans="1:38"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row>
    <row r="90" spans="1:38"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row>
    <row r="91" spans="1:38"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row>
    <row r="92" spans="1:38"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row>
    <row r="93" spans="1:38"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row>
    <row r="94" spans="1:38"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row>
    <row r="95" spans="1:38"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row>
    <row r="96" spans="1:38"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row>
    <row r="97" spans="1:38"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row>
    <row r="98" spans="1:38"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row>
    <row r="99" spans="1:38"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row>
    <row r="100" spans="1:38"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row>
    <row r="101" spans="1:38"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row>
    <row r="102" spans="1:38"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row>
    <row r="103" spans="1:38"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row>
    <row r="104" spans="1:38"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row>
    <row r="105" spans="1:38"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row>
    <row r="106" spans="1:38"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row>
    <row r="107" spans="1:38"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row>
    <row r="108" spans="1:38"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row>
    <row r="109" spans="1:38"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row>
    <row r="110" spans="1:38"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row>
    <row r="111" spans="1:38"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row>
    <row r="112" spans="1:38"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row>
    <row r="113" spans="1:38"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row>
    <row r="114" spans="1:38"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row>
    <row r="115" spans="1:38"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row>
    <row r="116" spans="1:38"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row>
    <row r="117" spans="1:38"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row>
    <row r="118" spans="1:38"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row>
    <row r="119" spans="1:38"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row>
    <row r="120" spans="1:38"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row>
    <row r="121" spans="1:38"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row>
    <row r="122" spans="1:38"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row>
    <row r="123" spans="1:38"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row>
    <row r="124" spans="1:38"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row>
    <row r="125" spans="1:38"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row>
    <row r="126" spans="1:38"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row>
    <row r="127" spans="1:38"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row>
    <row r="128" spans="1:38"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row>
    <row r="129" spans="1:38"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row>
    <row r="130" spans="1:38"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row>
    <row r="131" spans="1:38"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row>
    <row r="132" spans="1:38"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row>
    <row r="133" spans="1:38"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row>
    <row r="134" spans="1:38"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row>
    <row r="135" spans="1:38"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row>
    <row r="136" spans="1:38"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row>
    <row r="137" spans="1:38"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row>
    <row r="138" spans="1:38"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row>
    <row r="139" spans="1:38"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row>
    <row r="140" spans="1:38"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row>
    <row r="141" spans="1:38"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row>
    <row r="142" spans="1:38"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row>
    <row r="143" spans="1:38"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row>
    <row r="144" spans="1:38"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row>
    <row r="145" spans="1:38"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row>
    <row r="146" spans="1:38"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row>
    <row r="147" spans="1:38"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row>
    <row r="148" spans="1:38"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row>
    <row r="149" spans="1:38"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row>
    <row r="150" spans="1:38"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row>
    <row r="151" spans="1:38"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row>
    <row r="152" spans="1:38"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row>
    <row r="153" spans="1:38"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row>
    <row r="154" spans="1:38"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row>
    <row r="155" spans="1:38"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row>
    <row r="156" spans="1:38"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row>
    <row r="157" spans="1:38"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row>
    <row r="158" spans="1:38"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row>
    <row r="159" spans="1:38"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row>
    <row r="160" spans="1:38"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row>
    <row r="161" spans="1:38"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row>
    <row r="162" spans="1:38"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row>
    <row r="163" spans="1:38"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row>
    <row r="164" spans="1:38"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row>
    <row r="165" spans="1:38"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row>
    <row r="166" spans="1:38"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row>
    <row r="167" spans="1:38"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row>
    <row r="168" spans="1:38"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row>
    <row r="169" spans="1:38"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row>
    <row r="170" spans="1:38"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row>
    <row r="171" spans="1:38"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row>
    <row r="172" spans="1:38"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row>
    <row r="173" spans="1:38"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row>
    <row r="174" spans="1:38"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row>
    <row r="175" spans="1:38"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row>
    <row r="176" spans="1:38"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row>
    <row r="177" spans="1:38"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row>
    <row r="178" spans="1:38"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row>
    <row r="179" spans="1:38"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row>
    <row r="180" spans="1:38"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row>
    <row r="181" spans="1:38"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row>
    <row r="182" spans="1:38"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row>
    <row r="183" spans="1:38"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row>
    <row r="184" spans="1:38"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row>
    <row r="185" spans="1:38"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row>
    <row r="186" spans="1:38"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row>
    <row r="187" spans="1:38"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row>
    <row r="188" spans="1:38"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row>
    <row r="189" spans="1:38"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row>
    <row r="190" spans="1:38"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row>
    <row r="191" spans="1:38"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row>
    <row r="192" spans="1:38"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row>
    <row r="193" spans="1:38"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row>
    <row r="194" spans="1:38"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row>
    <row r="195" spans="1:38"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row>
    <row r="196" spans="1:38"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row>
    <row r="197" spans="1:38"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row>
    <row r="198" spans="1:38"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row>
    <row r="199" spans="1:38"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row>
    <row r="200" spans="1:38"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row>
    <row r="201" spans="1:38"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row>
    <row r="202" spans="1:38"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row>
    <row r="203" spans="1:38"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row>
    <row r="204" spans="1:38"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row>
    <row r="205" spans="1:38"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row>
    <row r="206" spans="1:38"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row>
    <row r="207" spans="1:38"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row>
    <row r="208" spans="1:38"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row>
    <row r="209" spans="1:38"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row>
    <row r="210" spans="1:38"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row>
    <row r="211" spans="1:38"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row>
    <row r="212" spans="1:38"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row>
    <row r="213" spans="1:38"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row>
    <row r="214" spans="1:38"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row>
    <row r="215" spans="1:38"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row>
    <row r="216" spans="1:38"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row>
    <row r="217" spans="1:38"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row>
    <row r="218" spans="1:38"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row>
    <row r="219" spans="1:38"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row>
    <row r="220" spans="1:38"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row>
    <row r="221" spans="1:38"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row>
    <row r="222" spans="1:38"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row>
    <row r="223" spans="1:38"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row>
    <row r="224" spans="1:38"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row>
    <row r="225" spans="1:38"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row>
    <row r="226" spans="1:38"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row>
    <row r="227" spans="1:38"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row>
    <row r="228" spans="1:38"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row>
    <row r="229" spans="1:38"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row>
    <row r="230" spans="1:38"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row>
    <row r="231" spans="1:38"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row>
    <row r="232" spans="1:38"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row>
    <row r="233" spans="1:38"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row>
    <row r="234" spans="1:38" ht="15.75" customHeight="1" x14ac:dyDescent="0.2"/>
    <row r="235" spans="1:38" ht="15.75" customHeight="1" x14ac:dyDescent="0.2"/>
    <row r="236" spans="1:38" ht="15.75" customHeight="1" x14ac:dyDescent="0.2"/>
    <row r="237" spans="1:38" ht="15.75" customHeight="1" x14ac:dyDescent="0.2"/>
    <row r="238" spans="1:38" ht="15.75" customHeight="1" x14ac:dyDescent="0.2"/>
    <row r="239" spans="1:38" ht="15.75" customHeight="1" x14ac:dyDescent="0.2"/>
    <row r="240" spans="1:38"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sheetData>
  <mergeCells count="6">
    <mergeCell ref="C33:N33"/>
    <mergeCell ref="C15:T15"/>
    <mergeCell ref="C23:N23"/>
    <mergeCell ref="C26:N26"/>
    <mergeCell ref="C27:N27"/>
    <mergeCell ref="C30:N30"/>
  </mergeCells>
  <hyperlinks>
    <hyperlink ref="C26" r:id="rId1" xr:uid="{00000000-0004-0000-0C00-000000000000}"/>
  </hyperlinks>
  <pageMargins left="0.7" right="0.7" top="0.75" bottom="0.75" header="0" footer="0"/>
  <pageSetup paperSize="9" orientation="portrait"/>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sheetPr>
  <dimension ref="A1:AL997"/>
  <sheetViews>
    <sheetView showGridLines="0" tabSelected="1" zoomScale="120" zoomScaleNormal="120" workbookViewId="0">
      <selection activeCell="C8" sqref="C8:J14"/>
    </sheetView>
  </sheetViews>
  <sheetFormatPr baseColWidth="10" defaultColWidth="14.5" defaultRowHeight="15" customHeight="1" x14ac:dyDescent="0.2"/>
  <cols>
    <col min="1" max="1" width="51.6640625" customWidth="1"/>
    <col min="2" max="2" width="1.33203125" customWidth="1"/>
    <col min="3" max="34" width="9.1640625" customWidth="1"/>
    <col min="35" max="35" width="10.6640625" bestFit="1" customWidth="1"/>
    <col min="36" max="36" width="11" bestFit="1" customWidth="1"/>
    <col min="37" max="37" width="10.6640625" bestFit="1" customWidth="1"/>
    <col min="38" max="38" width="11" bestFit="1" customWidth="1"/>
  </cols>
  <sheetData>
    <row r="1" spans="1:38" ht="31.5" customHeight="1" x14ac:dyDescent="0.2">
      <c r="A1" s="10" t="s">
        <v>302</v>
      </c>
      <c r="B1" s="10"/>
      <c r="C1" s="11" t="s">
        <v>303</v>
      </c>
      <c r="D1" s="10"/>
      <c r="E1" s="10"/>
      <c r="F1" s="10"/>
      <c r="G1" s="10"/>
      <c r="H1" s="10"/>
      <c r="I1" s="10"/>
      <c r="J1" s="10"/>
      <c r="K1" s="10"/>
      <c r="L1" s="10"/>
      <c r="M1" s="10"/>
      <c r="N1" s="10"/>
      <c r="O1" s="10"/>
      <c r="P1" s="10"/>
      <c r="Q1" s="10"/>
      <c r="R1" s="10"/>
      <c r="S1" s="10"/>
      <c r="T1" s="10"/>
      <c r="U1" s="3"/>
      <c r="V1" s="3"/>
      <c r="W1" s="3"/>
      <c r="X1" s="3"/>
      <c r="Y1" s="3"/>
      <c r="Z1" s="3"/>
      <c r="AA1" s="3"/>
      <c r="AB1" s="3"/>
      <c r="AC1" s="3"/>
      <c r="AD1" s="3"/>
      <c r="AE1" s="3"/>
      <c r="AF1" s="3"/>
      <c r="AG1" s="3"/>
      <c r="AH1" s="3"/>
      <c r="AI1" s="3"/>
      <c r="AJ1" s="3"/>
      <c r="AK1" s="3"/>
      <c r="AL1" s="3"/>
    </row>
    <row r="2" spans="1:38" ht="31.5" customHeight="1" x14ac:dyDescent="0.2">
      <c r="A2" s="10" t="s">
        <v>55</v>
      </c>
      <c r="B2" s="10"/>
      <c r="C2" s="11" t="s">
        <v>56</v>
      </c>
      <c r="D2" s="10"/>
      <c r="E2" s="10"/>
      <c r="F2" s="10"/>
      <c r="G2" s="10"/>
      <c r="H2" s="10"/>
      <c r="I2" s="10"/>
      <c r="J2" s="10"/>
      <c r="K2" s="10"/>
      <c r="L2" s="10"/>
      <c r="M2" s="10"/>
      <c r="N2" s="10"/>
      <c r="O2" s="10"/>
      <c r="P2" s="10"/>
      <c r="Q2" s="10"/>
      <c r="R2" s="10"/>
      <c r="S2" s="10"/>
      <c r="T2" s="10"/>
      <c r="U2" s="3"/>
      <c r="V2" s="3"/>
      <c r="W2" s="3"/>
      <c r="X2" s="3"/>
      <c r="Y2" s="3"/>
      <c r="Z2" s="3"/>
      <c r="AA2" s="3"/>
      <c r="AB2" s="3"/>
      <c r="AC2" s="3"/>
      <c r="AD2" s="3"/>
      <c r="AE2" s="3"/>
      <c r="AF2" s="3"/>
      <c r="AG2" s="3"/>
      <c r="AH2" s="3"/>
      <c r="AI2" s="3"/>
      <c r="AJ2" s="3"/>
      <c r="AK2" s="3"/>
      <c r="AL2" s="3"/>
    </row>
    <row r="3" spans="1:38" ht="31.5" customHeight="1" x14ac:dyDescent="0.2">
      <c r="A3" s="10" t="s">
        <v>57</v>
      </c>
      <c r="B3" s="10"/>
      <c r="C3" s="11" t="s">
        <v>58</v>
      </c>
      <c r="D3" s="10"/>
      <c r="E3" s="10"/>
      <c r="F3" s="10"/>
      <c r="G3" s="10"/>
      <c r="H3" s="10"/>
      <c r="I3" s="10"/>
      <c r="J3" s="10"/>
      <c r="K3" s="10"/>
      <c r="L3" s="10"/>
      <c r="M3" s="10"/>
      <c r="N3" s="10"/>
      <c r="O3" s="10"/>
      <c r="P3" s="10"/>
      <c r="Q3" s="10"/>
      <c r="R3" s="10"/>
      <c r="S3" s="10"/>
      <c r="T3" s="10"/>
      <c r="U3" s="3"/>
      <c r="V3" s="3"/>
      <c r="W3" s="3"/>
      <c r="X3" s="3"/>
      <c r="Y3" s="3"/>
      <c r="Z3" s="3"/>
      <c r="AA3" s="3"/>
      <c r="AB3" s="3"/>
      <c r="AC3" s="3"/>
      <c r="AD3" s="3"/>
      <c r="AE3" s="3"/>
      <c r="AF3" s="3"/>
      <c r="AG3" s="3"/>
      <c r="AH3" s="3"/>
      <c r="AI3" s="3"/>
      <c r="AJ3" s="3"/>
      <c r="AK3" s="3"/>
      <c r="AL3" s="3"/>
    </row>
    <row r="4" spans="1:38" ht="31.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row>
    <row r="5" spans="1:38" ht="19" x14ac:dyDescent="0.25">
      <c r="A5" s="15" t="s">
        <v>61</v>
      </c>
      <c r="B5" s="3"/>
      <c r="C5" s="13"/>
      <c r="D5" s="14"/>
      <c r="E5" s="14"/>
      <c r="F5" s="14"/>
      <c r="G5" s="14"/>
      <c r="H5" s="14"/>
      <c r="I5" s="14"/>
      <c r="J5" s="14"/>
      <c r="K5" s="14"/>
      <c r="L5" s="14"/>
      <c r="M5" s="14"/>
      <c r="N5" s="14"/>
      <c r="O5" s="3"/>
      <c r="P5" s="3"/>
      <c r="Q5" s="3"/>
      <c r="R5" s="3"/>
      <c r="S5" s="3"/>
      <c r="T5" s="3"/>
      <c r="U5" s="3"/>
      <c r="V5" s="3"/>
      <c r="W5" s="3"/>
      <c r="X5" s="3"/>
      <c r="Y5" s="3"/>
      <c r="Z5" s="3"/>
      <c r="AA5" s="3"/>
      <c r="AB5" s="3"/>
      <c r="AC5" s="3"/>
      <c r="AD5" s="3"/>
      <c r="AE5" s="3"/>
      <c r="AF5" s="3"/>
      <c r="AG5" s="3"/>
      <c r="AH5" s="3"/>
      <c r="AI5" s="3"/>
      <c r="AJ5" s="3"/>
      <c r="AK5" s="3"/>
      <c r="AL5" s="3"/>
    </row>
    <row r="6" spans="1:38" ht="16" x14ac:dyDescent="0.2">
      <c r="A6" s="16" t="str">
        <f>A1</f>
        <v>Indicator 19a</v>
      </c>
      <c r="B6" s="3"/>
      <c r="C6" s="17" t="s">
        <v>62</v>
      </c>
      <c r="D6" s="17" t="s">
        <v>63</v>
      </c>
      <c r="E6" s="17" t="s">
        <v>64</v>
      </c>
      <c r="F6" s="17" t="s">
        <v>65</v>
      </c>
      <c r="G6" s="17" t="s">
        <v>62</v>
      </c>
      <c r="H6" s="17" t="s">
        <v>63</v>
      </c>
      <c r="I6" s="17" t="s">
        <v>64</v>
      </c>
      <c r="J6" s="17" t="s">
        <v>65</v>
      </c>
      <c r="K6" s="17" t="s">
        <v>62</v>
      </c>
      <c r="L6" s="17" t="s">
        <v>63</v>
      </c>
      <c r="M6" s="17" t="s">
        <v>64</v>
      </c>
      <c r="N6" s="17" t="s">
        <v>65</v>
      </c>
      <c r="O6" s="17" t="s">
        <v>62</v>
      </c>
      <c r="P6" s="17" t="s">
        <v>63</v>
      </c>
      <c r="Q6" s="17" t="s">
        <v>64</v>
      </c>
      <c r="R6" s="17" t="s">
        <v>65</v>
      </c>
      <c r="S6" s="17" t="s">
        <v>62</v>
      </c>
      <c r="T6" s="17" t="s">
        <v>63</v>
      </c>
      <c r="U6" s="17" t="s">
        <v>64</v>
      </c>
      <c r="V6" s="17" t="s">
        <v>65</v>
      </c>
      <c r="W6" s="17" t="s">
        <v>62</v>
      </c>
      <c r="X6" s="17" t="s">
        <v>63</v>
      </c>
      <c r="Y6" s="17" t="s">
        <v>64</v>
      </c>
      <c r="Z6" s="17" t="s">
        <v>65</v>
      </c>
      <c r="AA6" s="17" t="s">
        <v>62</v>
      </c>
      <c r="AB6" s="17" t="s">
        <v>63</v>
      </c>
      <c r="AC6" s="17" t="s">
        <v>64</v>
      </c>
      <c r="AD6" s="17" t="s">
        <v>65</v>
      </c>
      <c r="AE6" s="17" t="s">
        <v>62</v>
      </c>
      <c r="AF6" s="17" t="s">
        <v>63</v>
      </c>
      <c r="AG6" s="17" t="s">
        <v>64</v>
      </c>
      <c r="AH6" s="17" t="s">
        <v>65</v>
      </c>
      <c r="AI6" s="17" t="s">
        <v>62</v>
      </c>
      <c r="AJ6" s="17" t="s">
        <v>63</v>
      </c>
      <c r="AK6" s="17" t="s">
        <v>64</v>
      </c>
      <c r="AL6" s="17" t="s">
        <v>65</v>
      </c>
    </row>
    <row r="7" spans="1:38" ht="26" x14ac:dyDescent="0.2">
      <c r="A7" s="16"/>
      <c r="B7" s="3"/>
      <c r="C7" s="17" t="s">
        <v>385</v>
      </c>
      <c r="D7" s="17" t="s">
        <v>386</v>
      </c>
      <c r="E7" s="17" t="s">
        <v>387</v>
      </c>
      <c r="F7" s="17" t="s">
        <v>388</v>
      </c>
      <c r="G7" s="17" t="s">
        <v>66</v>
      </c>
      <c r="H7" s="17" t="s">
        <v>67</v>
      </c>
      <c r="I7" s="17" t="s">
        <v>68</v>
      </c>
      <c r="J7" s="17" t="s">
        <v>69</v>
      </c>
      <c r="K7" s="17" t="s">
        <v>70</v>
      </c>
      <c r="L7" s="17" t="s">
        <v>71</v>
      </c>
      <c r="M7" s="17" t="s">
        <v>72</v>
      </c>
      <c r="N7" s="17" t="s">
        <v>73</v>
      </c>
      <c r="O7" s="17" t="s">
        <v>74</v>
      </c>
      <c r="P7" s="17" t="s">
        <v>75</v>
      </c>
      <c r="Q7" s="17" t="s">
        <v>76</v>
      </c>
      <c r="R7" s="17" t="s">
        <v>77</v>
      </c>
      <c r="S7" s="58" t="s">
        <v>321</v>
      </c>
      <c r="T7" s="17" t="s">
        <v>322</v>
      </c>
      <c r="U7" s="17" t="s">
        <v>323</v>
      </c>
      <c r="V7" s="17" t="s">
        <v>324</v>
      </c>
      <c r="W7" s="58" t="s">
        <v>325</v>
      </c>
      <c r="X7" s="17" t="s">
        <v>326</v>
      </c>
      <c r="Y7" s="17" t="s">
        <v>327</v>
      </c>
      <c r="Z7" s="17" t="s">
        <v>328</v>
      </c>
      <c r="AA7" s="17" t="s">
        <v>329</v>
      </c>
      <c r="AB7" s="17" t="s">
        <v>330</v>
      </c>
      <c r="AC7" s="17" t="s">
        <v>331</v>
      </c>
      <c r="AD7" s="17" t="s">
        <v>332</v>
      </c>
      <c r="AE7" s="17" t="s">
        <v>333</v>
      </c>
      <c r="AF7" s="17" t="s">
        <v>334</v>
      </c>
      <c r="AG7" s="17" t="s">
        <v>335</v>
      </c>
      <c r="AH7" s="17" t="s">
        <v>336</v>
      </c>
      <c r="AI7" s="17" t="s">
        <v>337</v>
      </c>
      <c r="AJ7" s="17" t="s">
        <v>338</v>
      </c>
      <c r="AK7" s="17" t="s">
        <v>339</v>
      </c>
      <c r="AL7" s="17" t="s">
        <v>340</v>
      </c>
    </row>
    <row r="8" spans="1:38" ht="16" x14ac:dyDescent="0.2">
      <c r="A8" s="18" t="s">
        <v>304</v>
      </c>
      <c r="B8" s="3"/>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row>
    <row r="9" spans="1:38" ht="32" x14ac:dyDescent="0.2">
      <c r="A9" s="18" t="s">
        <v>305</v>
      </c>
      <c r="B9" s="3"/>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row>
    <row r="10" spans="1:38" ht="16" x14ac:dyDescent="0.2">
      <c r="A10" s="18" t="s">
        <v>306</v>
      </c>
      <c r="B10" s="3"/>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row>
    <row r="11" spans="1:38" ht="16" x14ac:dyDescent="0.2">
      <c r="A11" s="18" t="s">
        <v>307</v>
      </c>
      <c r="B11" s="3"/>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row>
    <row r="12" spans="1:38" ht="16" x14ac:dyDescent="0.2">
      <c r="A12" s="18" t="s">
        <v>308</v>
      </c>
      <c r="B12" s="3"/>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row>
    <row r="13" spans="1:38" ht="16" x14ac:dyDescent="0.2">
      <c r="A13" s="18" t="s">
        <v>309</v>
      </c>
      <c r="B13" s="3"/>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row>
    <row r="14" spans="1:38" ht="16" x14ac:dyDescent="0.2">
      <c r="A14" s="18" t="s">
        <v>110</v>
      </c>
      <c r="B14" s="3"/>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row>
    <row r="15" spans="1:38" ht="17" thickBot="1" x14ac:dyDescent="0.25">
      <c r="A15" s="22" t="s">
        <v>111</v>
      </c>
      <c r="B15" s="3"/>
      <c r="C15" s="40">
        <f t="shared" ref="C15:R15" si="0">SUM(C8:C14)</f>
        <v>0</v>
      </c>
      <c r="D15" s="40">
        <f t="shared" si="0"/>
        <v>0</v>
      </c>
      <c r="E15" s="40">
        <f t="shared" si="0"/>
        <v>0</v>
      </c>
      <c r="F15" s="40">
        <f t="shared" si="0"/>
        <v>0</v>
      </c>
      <c r="G15" s="40">
        <f t="shared" si="0"/>
        <v>0</v>
      </c>
      <c r="H15" s="40">
        <f t="shared" si="0"/>
        <v>0</v>
      </c>
      <c r="I15" s="40">
        <f t="shared" si="0"/>
        <v>0</v>
      </c>
      <c r="J15" s="40">
        <f t="shared" si="0"/>
        <v>0</v>
      </c>
      <c r="K15" s="40">
        <f t="shared" si="0"/>
        <v>0</v>
      </c>
      <c r="L15" s="40">
        <f t="shared" si="0"/>
        <v>0</v>
      </c>
      <c r="M15" s="40">
        <f t="shared" si="0"/>
        <v>0</v>
      </c>
      <c r="N15" s="40">
        <f t="shared" si="0"/>
        <v>0</v>
      </c>
      <c r="O15" s="40">
        <f t="shared" si="0"/>
        <v>0</v>
      </c>
      <c r="P15" s="40">
        <f t="shared" si="0"/>
        <v>0</v>
      </c>
      <c r="Q15" s="40">
        <f t="shared" si="0"/>
        <v>0</v>
      </c>
      <c r="R15" s="40">
        <f t="shared" si="0"/>
        <v>0</v>
      </c>
      <c r="S15" s="40">
        <f t="shared" ref="S15:AH15" si="1">SUM(S8:S14)</f>
        <v>0</v>
      </c>
      <c r="T15" s="40">
        <f t="shared" si="1"/>
        <v>0</v>
      </c>
      <c r="U15" s="40">
        <f t="shared" si="1"/>
        <v>0</v>
      </c>
      <c r="V15" s="40">
        <f t="shared" si="1"/>
        <v>0</v>
      </c>
      <c r="W15" s="40">
        <f t="shared" si="1"/>
        <v>0</v>
      </c>
      <c r="X15" s="40">
        <f t="shared" si="1"/>
        <v>0</v>
      </c>
      <c r="Y15" s="40">
        <f t="shared" si="1"/>
        <v>0</v>
      </c>
      <c r="Z15" s="40">
        <f t="shared" si="1"/>
        <v>0</v>
      </c>
      <c r="AA15" s="40">
        <f t="shared" si="1"/>
        <v>0</v>
      </c>
      <c r="AB15" s="40">
        <f t="shared" si="1"/>
        <v>0</v>
      </c>
      <c r="AC15" s="40">
        <f t="shared" si="1"/>
        <v>0</v>
      </c>
      <c r="AD15" s="40">
        <f t="shared" si="1"/>
        <v>0</v>
      </c>
      <c r="AE15" s="40">
        <f t="shared" si="1"/>
        <v>0</v>
      </c>
      <c r="AF15" s="40">
        <f t="shared" si="1"/>
        <v>0</v>
      </c>
      <c r="AG15" s="40">
        <f t="shared" si="1"/>
        <v>0</v>
      </c>
      <c r="AH15" s="40">
        <f t="shared" si="1"/>
        <v>0</v>
      </c>
      <c r="AI15" s="40">
        <f t="shared" ref="AI15:AL15" si="2">SUM(AI8:AI14)</f>
        <v>0</v>
      </c>
      <c r="AJ15" s="40">
        <f t="shared" si="2"/>
        <v>0</v>
      </c>
      <c r="AK15" s="40">
        <f t="shared" si="2"/>
        <v>0</v>
      </c>
      <c r="AL15" s="40">
        <f t="shared" si="2"/>
        <v>0</v>
      </c>
    </row>
    <row r="16" spans="1:38" ht="16" thickTop="1" x14ac:dyDescent="0.2">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row>
    <row r="17" spans="1:38" ht="17.25" customHeight="1" x14ac:dyDescent="0.2">
      <c r="A17" s="15" t="s">
        <v>112</v>
      </c>
      <c r="B17" s="3"/>
      <c r="C17" s="26" t="s">
        <v>310</v>
      </c>
      <c r="D17" s="26"/>
      <c r="E17" s="26"/>
      <c r="F17" s="26"/>
      <c r="G17" s="26"/>
      <c r="H17" s="26"/>
      <c r="I17" s="26"/>
      <c r="J17" s="26"/>
      <c r="K17" s="26"/>
      <c r="L17" s="26"/>
      <c r="M17" s="26"/>
      <c r="N17" s="26"/>
      <c r="O17" s="26"/>
      <c r="P17" s="26"/>
      <c r="Q17" s="26"/>
      <c r="R17" s="26"/>
      <c r="S17" s="3"/>
      <c r="T17" s="3"/>
      <c r="U17" s="3"/>
      <c r="V17" s="3"/>
      <c r="W17" s="3"/>
      <c r="X17" s="3"/>
      <c r="Y17" s="3"/>
      <c r="Z17" s="3"/>
      <c r="AA17" s="3"/>
      <c r="AB17" s="3"/>
      <c r="AC17" s="3"/>
      <c r="AD17" s="3"/>
      <c r="AE17" s="3"/>
      <c r="AF17" s="3"/>
      <c r="AG17" s="3"/>
      <c r="AH17" s="3"/>
      <c r="AI17" s="3"/>
      <c r="AJ17" s="3"/>
      <c r="AK17" s="3"/>
      <c r="AL17" s="3"/>
    </row>
    <row r="18" spans="1:38" ht="16" x14ac:dyDescent="0.2">
      <c r="A18" s="16" t="str">
        <f>(A1)</f>
        <v>Indicator 19a</v>
      </c>
      <c r="B18" s="3"/>
      <c r="C18" s="17" t="s">
        <v>62</v>
      </c>
      <c r="D18" s="17" t="s">
        <v>63</v>
      </c>
      <c r="E18" s="17" t="s">
        <v>64</v>
      </c>
      <c r="F18" s="17" t="s">
        <v>65</v>
      </c>
      <c r="G18" s="17" t="s">
        <v>62</v>
      </c>
      <c r="H18" s="17" t="s">
        <v>63</v>
      </c>
      <c r="I18" s="17" t="s">
        <v>64</v>
      </c>
      <c r="J18" s="17" t="s">
        <v>65</v>
      </c>
      <c r="K18" s="17" t="s">
        <v>62</v>
      </c>
      <c r="L18" s="17" t="s">
        <v>63</v>
      </c>
      <c r="M18" s="17" t="s">
        <v>64</v>
      </c>
      <c r="N18" s="17" t="s">
        <v>65</v>
      </c>
      <c r="O18" s="17" t="s">
        <v>62</v>
      </c>
      <c r="P18" s="17" t="s">
        <v>63</v>
      </c>
      <c r="Q18" s="17" t="s">
        <v>64</v>
      </c>
      <c r="R18" s="17" t="s">
        <v>65</v>
      </c>
      <c r="S18" s="17" t="s">
        <v>62</v>
      </c>
      <c r="T18" s="17" t="s">
        <v>63</v>
      </c>
      <c r="U18" s="17" t="s">
        <v>64</v>
      </c>
      <c r="V18" s="17" t="s">
        <v>65</v>
      </c>
      <c r="W18" s="17" t="s">
        <v>62</v>
      </c>
      <c r="X18" s="17" t="s">
        <v>63</v>
      </c>
      <c r="Y18" s="17" t="s">
        <v>64</v>
      </c>
      <c r="Z18" s="17" t="s">
        <v>65</v>
      </c>
      <c r="AA18" s="17" t="s">
        <v>62</v>
      </c>
      <c r="AB18" s="17" t="s">
        <v>63</v>
      </c>
      <c r="AC18" s="17" t="s">
        <v>64</v>
      </c>
      <c r="AD18" s="17" t="s">
        <v>65</v>
      </c>
      <c r="AE18" s="17" t="s">
        <v>62</v>
      </c>
      <c r="AF18" s="17" t="s">
        <v>63</v>
      </c>
      <c r="AG18" s="17" t="s">
        <v>64</v>
      </c>
      <c r="AH18" s="17" t="s">
        <v>65</v>
      </c>
      <c r="AI18" s="17" t="s">
        <v>62</v>
      </c>
      <c r="AJ18" s="17" t="s">
        <v>63</v>
      </c>
      <c r="AK18" s="17" t="s">
        <v>64</v>
      </c>
      <c r="AL18" s="17" t="s">
        <v>65</v>
      </c>
    </row>
    <row r="19" spans="1:38" ht="26" x14ac:dyDescent="0.2">
      <c r="A19" s="27" t="s">
        <v>114</v>
      </c>
      <c r="B19" s="3"/>
      <c r="C19" s="17" t="s">
        <v>385</v>
      </c>
      <c r="D19" s="17" t="s">
        <v>386</v>
      </c>
      <c r="E19" s="17" t="s">
        <v>387</v>
      </c>
      <c r="F19" s="17" t="s">
        <v>388</v>
      </c>
      <c r="G19" s="17" t="s">
        <v>66</v>
      </c>
      <c r="H19" s="17" t="s">
        <v>67</v>
      </c>
      <c r="I19" s="17" t="s">
        <v>68</v>
      </c>
      <c r="J19" s="17" t="s">
        <v>69</v>
      </c>
      <c r="K19" s="17" t="s">
        <v>70</v>
      </c>
      <c r="L19" s="17" t="s">
        <v>71</v>
      </c>
      <c r="M19" s="17" t="s">
        <v>72</v>
      </c>
      <c r="N19" s="17" t="s">
        <v>73</v>
      </c>
      <c r="O19" s="17" t="s">
        <v>74</v>
      </c>
      <c r="P19" s="17" t="s">
        <v>75</v>
      </c>
      <c r="Q19" s="17" t="s">
        <v>76</v>
      </c>
      <c r="R19" s="17" t="s">
        <v>77</v>
      </c>
      <c r="S19" s="58" t="s">
        <v>321</v>
      </c>
      <c r="T19" s="17" t="s">
        <v>322</v>
      </c>
      <c r="U19" s="17" t="s">
        <v>323</v>
      </c>
      <c r="V19" s="17" t="s">
        <v>324</v>
      </c>
      <c r="W19" s="58" t="s">
        <v>325</v>
      </c>
      <c r="X19" s="17" t="s">
        <v>326</v>
      </c>
      <c r="Y19" s="17" t="s">
        <v>327</v>
      </c>
      <c r="Z19" s="17" t="s">
        <v>328</v>
      </c>
      <c r="AA19" s="17" t="s">
        <v>329</v>
      </c>
      <c r="AB19" s="17" t="s">
        <v>330</v>
      </c>
      <c r="AC19" s="17" t="s">
        <v>331</v>
      </c>
      <c r="AD19" s="17" t="s">
        <v>332</v>
      </c>
      <c r="AE19" s="17" t="s">
        <v>333</v>
      </c>
      <c r="AF19" s="17" t="s">
        <v>334</v>
      </c>
      <c r="AG19" s="17" t="s">
        <v>335</v>
      </c>
      <c r="AH19" s="17" t="s">
        <v>336</v>
      </c>
      <c r="AI19" s="17" t="s">
        <v>337</v>
      </c>
      <c r="AJ19" s="17" t="s">
        <v>338</v>
      </c>
      <c r="AK19" s="17" t="s">
        <v>339</v>
      </c>
      <c r="AL19" s="17" t="s">
        <v>340</v>
      </c>
    </row>
    <row r="20" spans="1:38" x14ac:dyDescent="0.2">
      <c r="A20" s="19"/>
      <c r="B20" s="3"/>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row>
    <row r="21" spans="1:38" ht="15.75" customHeight="1" x14ac:dyDescent="0.2">
      <c r="A21" s="19"/>
      <c r="B21" s="3"/>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row>
    <row r="22" spans="1:38" ht="15.75" customHeight="1" x14ac:dyDescent="0.2">
      <c r="A22" s="19"/>
      <c r="B22" s="3"/>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row>
    <row r="23" spans="1:38" ht="15.75" customHeight="1" x14ac:dyDescent="0.2">
      <c r="A23" s="19"/>
      <c r="B23" s="3"/>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row>
    <row r="24" spans="1:38" ht="15.75" customHeight="1" x14ac:dyDescent="0.2">
      <c r="A24" s="19"/>
      <c r="B24" s="3"/>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row>
    <row r="25" spans="1:38" ht="15.75" customHeight="1" x14ac:dyDescent="0.2">
      <c r="A25" s="19"/>
      <c r="B25" s="3"/>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row>
    <row r="26" spans="1:38" ht="15.75" customHeight="1" x14ac:dyDescent="0.2">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row>
    <row r="27" spans="1:38" ht="15.75" customHeight="1" x14ac:dyDescent="0.2">
      <c r="A27" s="16" t="str">
        <f>A2</f>
        <v>Indicator 19b</v>
      </c>
      <c r="B27" s="3"/>
      <c r="C27" s="17" t="s">
        <v>62</v>
      </c>
      <c r="D27" s="17" t="s">
        <v>63</v>
      </c>
      <c r="E27" s="17" t="s">
        <v>64</v>
      </c>
      <c r="F27" s="17" t="s">
        <v>65</v>
      </c>
      <c r="G27" s="17" t="s">
        <v>62</v>
      </c>
      <c r="H27" s="17" t="s">
        <v>63</v>
      </c>
      <c r="I27" s="17" t="s">
        <v>64</v>
      </c>
      <c r="J27" s="17" t="s">
        <v>65</v>
      </c>
      <c r="K27" s="17" t="s">
        <v>62</v>
      </c>
      <c r="L27" s="17" t="s">
        <v>63</v>
      </c>
      <c r="M27" s="17" t="s">
        <v>64</v>
      </c>
      <c r="N27" s="17" t="s">
        <v>65</v>
      </c>
      <c r="O27" s="17" t="s">
        <v>62</v>
      </c>
      <c r="P27" s="17" t="s">
        <v>63</v>
      </c>
      <c r="Q27" s="17" t="s">
        <v>64</v>
      </c>
      <c r="R27" s="17" t="s">
        <v>65</v>
      </c>
      <c r="S27" s="17" t="s">
        <v>62</v>
      </c>
      <c r="T27" s="17" t="s">
        <v>63</v>
      </c>
      <c r="U27" s="17" t="s">
        <v>64</v>
      </c>
      <c r="V27" s="17" t="s">
        <v>65</v>
      </c>
      <c r="W27" s="17" t="s">
        <v>62</v>
      </c>
      <c r="X27" s="17" t="s">
        <v>63</v>
      </c>
      <c r="Y27" s="17" t="s">
        <v>64</v>
      </c>
      <c r="Z27" s="17" t="s">
        <v>65</v>
      </c>
      <c r="AA27" s="17" t="s">
        <v>62</v>
      </c>
      <c r="AB27" s="17" t="s">
        <v>63</v>
      </c>
      <c r="AC27" s="17" t="s">
        <v>64</v>
      </c>
      <c r="AD27" s="17" t="s">
        <v>65</v>
      </c>
      <c r="AE27" s="17" t="s">
        <v>62</v>
      </c>
      <c r="AF27" s="17" t="s">
        <v>63</v>
      </c>
      <c r="AG27" s="17" t="s">
        <v>64</v>
      </c>
      <c r="AH27" s="17" t="s">
        <v>65</v>
      </c>
      <c r="AI27" s="17" t="s">
        <v>62</v>
      </c>
      <c r="AJ27" s="17" t="s">
        <v>63</v>
      </c>
      <c r="AK27" s="17" t="s">
        <v>64</v>
      </c>
      <c r="AL27" s="17" t="s">
        <v>65</v>
      </c>
    </row>
    <row r="28" spans="1:38" ht="15.75" customHeight="1" x14ac:dyDescent="0.2">
      <c r="A28" s="16"/>
      <c r="B28" s="3"/>
      <c r="C28" s="17" t="s">
        <v>385</v>
      </c>
      <c r="D28" s="17" t="s">
        <v>386</v>
      </c>
      <c r="E28" s="17" t="s">
        <v>387</v>
      </c>
      <c r="F28" s="17" t="s">
        <v>388</v>
      </c>
      <c r="G28" s="17" t="s">
        <v>66</v>
      </c>
      <c r="H28" s="17" t="s">
        <v>67</v>
      </c>
      <c r="I28" s="17" t="s">
        <v>68</v>
      </c>
      <c r="J28" s="17" t="s">
        <v>69</v>
      </c>
      <c r="K28" s="17" t="s">
        <v>70</v>
      </c>
      <c r="L28" s="17" t="s">
        <v>71</v>
      </c>
      <c r="M28" s="17" t="s">
        <v>72</v>
      </c>
      <c r="N28" s="17" t="s">
        <v>73</v>
      </c>
      <c r="O28" s="17" t="s">
        <v>74</v>
      </c>
      <c r="P28" s="17" t="s">
        <v>75</v>
      </c>
      <c r="Q28" s="17" t="s">
        <v>76</v>
      </c>
      <c r="R28" s="17" t="s">
        <v>77</v>
      </c>
      <c r="S28" s="58" t="s">
        <v>321</v>
      </c>
      <c r="T28" s="17" t="s">
        <v>322</v>
      </c>
      <c r="U28" s="17" t="s">
        <v>323</v>
      </c>
      <c r="V28" s="17" t="s">
        <v>324</v>
      </c>
      <c r="W28" s="58" t="s">
        <v>325</v>
      </c>
      <c r="X28" s="17" t="s">
        <v>326</v>
      </c>
      <c r="Y28" s="17" t="s">
        <v>327</v>
      </c>
      <c r="Z28" s="17" t="s">
        <v>328</v>
      </c>
      <c r="AA28" s="17" t="s">
        <v>329</v>
      </c>
      <c r="AB28" s="17" t="s">
        <v>330</v>
      </c>
      <c r="AC28" s="17" t="s">
        <v>331</v>
      </c>
      <c r="AD28" s="17" t="s">
        <v>332</v>
      </c>
      <c r="AE28" s="17" t="s">
        <v>333</v>
      </c>
      <c r="AF28" s="17" t="s">
        <v>334</v>
      </c>
      <c r="AG28" s="17" t="s">
        <v>335</v>
      </c>
      <c r="AH28" s="17" t="s">
        <v>336</v>
      </c>
      <c r="AI28" s="17" t="s">
        <v>337</v>
      </c>
      <c r="AJ28" s="17" t="s">
        <v>338</v>
      </c>
      <c r="AK28" s="17" t="s">
        <v>339</v>
      </c>
      <c r="AL28" s="17" t="s">
        <v>340</v>
      </c>
    </row>
    <row r="29" spans="1:38" ht="15.75" customHeight="1" x14ac:dyDescent="0.2">
      <c r="A29" s="18" t="s">
        <v>311</v>
      </c>
      <c r="B29" s="3"/>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row>
    <row r="30" spans="1:38" ht="15.75" customHeight="1" x14ac:dyDescent="0.2">
      <c r="A30" s="18"/>
      <c r="B30" s="3"/>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row>
    <row r="31" spans="1:38" ht="15.75" customHeight="1" x14ac:dyDescent="0.2">
      <c r="A31" s="18"/>
      <c r="B31" s="3"/>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row>
    <row r="32" spans="1:38" ht="15.75" customHeight="1" x14ac:dyDescent="0.2">
      <c r="A32" s="18"/>
      <c r="B32" s="3"/>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row>
    <row r="33" spans="1:38" ht="15.75" customHeight="1" x14ac:dyDescent="0.2">
      <c r="A33" s="18"/>
      <c r="B33" s="3"/>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row>
    <row r="34" spans="1:38" ht="15.75" customHeight="1" x14ac:dyDescent="0.2">
      <c r="A34" s="18"/>
      <c r="B34" s="3"/>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row>
    <row r="35" spans="1:38" ht="15.75" customHeight="1" x14ac:dyDescent="0.2">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row>
    <row r="36" spans="1:38" ht="15.75" customHeight="1" x14ac:dyDescent="0.2">
      <c r="A36" s="16" t="str">
        <f>A2</f>
        <v>Indicator 19b</v>
      </c>
      <c r="B36" s="3"/>
      <c r="C36" s="17" t="s">
        <v>62</v>
      </c>
      <c r="D36" s="17" t="s">
        <v>63</v>
      </c>
      <c r="E36" s="17" t="s">
        <v>64</v>
      </c>
      <c r="F36" s="17" t="s">
        <v>65</v>
      </c>
      <c r="G36" s="17" t="s">
        <v>62</v>
      </c>
      <c r="H36" s="17" t="s">
        <v>63</v>
      </c>
      <c r="I36" s="17" t="s">
        <v>64</v>
      </c>
      <c r="J36" s="17" t="s">
        <v>65</v>
      </c>
      <c r="K36" s="17" t="s">
        <v>62</v>
      </c>
      <c r="L36" s="17" t="s">
        <v>63</v>
      </c>
      <c r="M36" s="17" t="s">
        <v>64</v>
      </c>
      <c r="N36" s="17" t="s">
        <v>65</v>
      </c>
      <c r="O36" s="17" t="s">
        <v>62</v>
      </c>
      <c r="P36" s="17" t="s">
        <v>63</v>
      </c>
      <c r="Q36" s="17" t="s">
        <v>64</v>
      </c>
      <c r="R36" s="17" t="s">
        <v>65</v>
      </c>
      <c r="S36" s="17" t="s">
        <v>62</v>
      </c>
      <c r="T36" s="17" t="s">
        <v>63</v>
      </c>
      <c r="U36" s="17" t="s">
        <v>64</v>
      </c>
      <c r="V36" s="17" t="s">
        <v>65</v>
      </c>
      <c r="W36" s="17" t="s">
        <v>62</v>
      </c>
      <c r="X36" s="17" t="s">
        <v>63</v>
      </c>
      <c r="Y36" s="17" t="s">
        <v>64</v>
      </c>
      <c r="Z36" s="17" t="s">
        <v>65</v>
      </c>
      <c r="AA36" s="17" t="s">
        <v>62</v>
      </c>
      <c r="AB36" s="17" t="s">
        <v>63</v>
      </c>
      <c r="AC36" s="17" t="s">
        <v>64</v>
      </c>
      <c r="AD36" s="17" t="s">
        <v>65</v>
      </c>
      <c r="AE36" s="17" t="s">
        <v>62</v>
      </c>
      <c r="AF36" s="17" t="s">
        <v>63</v>
      </c>
      <c r="AG36" s="17" t="s">
        <v>64</v>
      </c>
      <c r="AH36" s="17" t="s">
        <v>65</v>
      </c>
      <c r="AI36" s="17" t="s">
        <v>62</v>
      </c>
      <c r="AJ36" s="17" t="s">
        <v>63</v>
      </c>
      <c r="AK36" s="17" t="s">
        <v>64</v>
      </c>
      <c r="AL36" s="17" t="s">
        <v>65</v>
      </c>
    </row>
    <row r="37" spans="1:38" ht="15.75" customHeight="1" x14ac:dyDescent="0.2">
      <c r="A37" s="16"/>
      <c r="B37" s="3"/>
      <c r="C37" s="17" t="s">
        <v>385</v>
      </c>
      <c r="D37" s="17" t="s">
        <v>386</v>
      </c>
      <c r="E37" s="17" t="s">
        <v>387</v>
      </c>
      <c r="F37" s="17" t="s">
        <v>388</v>
      </c>
      <c r="G37" s="17" t="s">
        <v>66</v>
      </c>
      <c r="H37" s="17" t="s">
        <v>67</v>
      </c>
      <c r="I37" s="17" t="s">
        <v>68</v>
      </c>
      <c r="J37" s="17" t="s">
        <v>69</v>
      </c>
      <c r="K37" s="17" t="s">
        <v>70</v>
      </c>
      <c r="L37" s="17" t="s">
        <v>71</v>
      </c>
      <c r="M37" s="17" t="s">
        <v>72</v>
      </c>
      <c r="N37" s="17" t="s">
        <v>73</v>
      </c>
      <c r="O37" s="17" t="s">
        <v>74</v>
      </c>
      <c r="P37" s="17" t="s">
        <v>75</v>
      </c>
      <c r="Q37" s="17" t="s">
        <v>76</v>
      </c>
      <c r="R37" s="17" t="s">
        <v>77</v>
      </c>
      <c r="S37" s="58" t="s">
        <v>321</v>
      </c>
      <c r="T37" s="17" t="s">
        <v>322</v>
      </c>
      <c r="U37" s="17" t="s">
        <v>323</v>
      </c>
      <c r="V37" s="17" t="s">
        <v>324</v>
      </c>
      <c r="W37" s="58" t="s">
        <v>325</v>
      </c>
      <c r="X37" s="17" t="s">
        <v>326</v>
      </c>
      <c r="Y37" s="17" t="s">
        <v>327</v>
      </c>
      <c r="Z37" s="17" t="s">
        <v>328</v>
      </c>
      <c r="AA37" s="17" t="s">
        <v>329</v>
      </c>
      <c r="AB37" s="17" t="s">
        <v>330</v>
      </c>
      <c r="AC37" s="17" t="s">
        <v>331</v>
      </c>
      <c r="AD37" s="17" t="s">
        <v>332</v>
      </c>
      <c r="AE37" s="17" t="s">
        <v>333</v>
      </c>
      <c r="AF37" s="17" t="s">
        <v>334</v>
      </c>
      <c r="AG37" s="17" t="s">
        <v>335</v>
      </c>
      <c r="AH37" s="17" t="s">
        <v>336</v>
      </c>
      <c r="AI37" s="17" t="s">
        <v>337</v>
      </c>
      <c r="AJ37" s="17" t="s">
        <v>338</v>
      </c>
      <c r="AK37" s="17" t="s">
        <v>339</v>
      </c>
      <c r="AL37" s="17" t="s">
        <v>340</v>
      </c>
    </row>
    <row r="38" spans="1:38" ht="15.75" customHeight="1" x14ac:dyDescent="0.2">
      <c r="A38" s="18" t="s">
        <v>312</v>
      </c>
      <c r="B38" s="3"/>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row>
    <row r="39" spans="1:38" ht="15.75" customHeight="1" x14ac:dyDescent="0.2">
      <c r="A39" s="18"/>
      <c r="B39" s="3"/>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row>
    <row r="40" spans="1:38" ht="15.75" customHeight="1" x14ac:dyDescent="0.2">
      <c r="A40" s="18"/>
      <c r="B40" s="3"/>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row>
    <row r="41" spans="1:38" ht="15.75" customHeight="1" x14ac:dyDescent="0.2">
      <c r="A41" s="18"/>
      <c r="B41" s="3"/>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row>
    <row r="42" spans="1:38" ht="15.75" customHeight="1" x14ac:dyDescent="0.2">
      <c r="A42" s="18"/>
      <c r="B42" s="3"/>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row>
    <row r="43" spans="1:38" ht="15.75" customHeight="1" x14ac:dyDescent="0.2">
      <c r="A43" s="18"/>
      <c r="B43" s="3"/>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row>
    <row r="44" spans="1:38" ht="15.75" customHeight="1" x14ac:dyDescent="0.2">
      <c r="A44" s="24"/>
      <c r="B44" s="3"/>
      <c r="C44" s="25"/>
      <c r="D44" s="25"/>
      <c r="E44" s="25"/>
      <c r="F44" s="25"/>
      <c r="G44" s="25"/>
      <c r="H44" s="25"/>
      <c r="I44" s="25"/>
      <c r="J44" s="25"/>
      <c r="K44" s="25"/>
      <c r="L44" s="25"/>
      <c r="M44" s="25"/>
      <c r="N44" s="25"/>
      <c r="O44" s="25"/>
      <c r="P44" s="25"/>
      <c r="Q44" s="25"/>
      <c r="R44" s="25"/>
      <c r="S44" s="3"/>
      <c r="T44" s="3"/>
      <c r="U44" s="3"/>
      <c r="V44" s="3"/>
      <c r="W44" s="3"/>
      <c r="X44" s="3"/>
      <c r="Y44" s="3"/>
      <c r="Z44" s="3"/>
      <c r="AA44" s="3"/>
      <c r="AB44" s="3"/>
      <c r="AC44" s="3"/>
      <c r="AD44" s="3"/>
      <c r="AE44" s="3"/>
      <c r="AF44" s="3"/>
      <c r="AG44" s="3"/>
      <c r="AH44" s="3"/>
      <c r="AI44" s="3"/>
      <c r="AJ44" s="3"/>
      <c r="AK44" s="3"/>
      <c r="AL44" s="3"/>
    </row>
    <row r="45" spans="1:38" ht="15.75" customHeight="1" x14ac:dyDescent="0.2">
      <c r="A45" s="16" t="str">
        <f>A3&amp;" - NHS hospital location code"</f>
        <v>Indicator 19c - NHS hospital location code</v>
      </c>
      <c r="B45" s="3"/>
      <c r="C45" s="17" t="s">
        <v>62</v>
      </c>
      <c r="D45" s="17" t="s">
        <v>63</v>
      </c>
      <c r="E45" s="17" t="s">
        <v>64</v>
      </c>
      <c r="F45" s="17" t="s">
        <v>65</v>
      </c>
      <c r="G45" s="17" t="s">
        <v>62</v>
      </c>
      <c r="H45" s="17" t="s">
        <v>63</v>
      </c>
      <c r="I45" s="17" t="s">
        <v>64</v>
      </c>
      <c r="J45" s="17" t="s">
        <v>65</v>
      </c>
      <c r="K45" s="17" t="s">
        <v>62</v>
      </c>
      <c r="L45" s="17" t="s">
        <v>63</v>
      </c>
      <c r="M45" s="17" t="s">
        <v>64</v>
      </c>
      <c r="N45" s="17" t="s">
        <v>65</v>
      </c>
      <c r="O45" s="17" t="s">
        <v>62</v>
      </c>
      <c r="P45" s="17" t="s">
        <v>63</v>
      </c>
      <c r="Q45" s="17" t="s">
        <v>64</v>
      </c>
      <c r="R45" s="17" t="s">
        <v>65</v>
      </c>
      <c r="S45" s="17" t="s">
        <v>62</v>
      </c>
      <c r="T45" s="17" t="s">
        <v>63</v>
      </c>
      <c r="U45" s="17" t="s">
        <v>64</v>
      </c>
      <c r="V45" s="17" t="s">
        <v>65</v>
      </c>
      <c r="W45" s="17" t="s">
        <v>62</v>
      </c>
      <c r="X45" s="17" t="s">
        <v>63</v>
      </c>
      <c r="Y45" s="17" t="s">
        <v>64</v>
      </c>
      <c r="Z45" s="17" t="s">
        <v>65</v>
      </c>
      <c r="AA45" s="17" t="s">
        <v>62</v>
      </c>
      <c r="AB45" s="17" t="s">
        <v>63</v>
      </c>
      <c r="AC45" s="17" t="s">
        <v>64</v>
      </c>
      <c r="AD45" s="17" t="s">
        <v>65</v>
      </c>
      <c r="AE45" s="17" t="s">
        <v>62</v>
      </c>
      <c r="AF45" s="17" t="s">
        <v>63</v>
      </c>
      <c r="AG45" s="17" t="s">
        <v>64</v>
      </c>
      <c r="AH45" s="17" t="s">
        <v>65</v>
      </c>
      <c r="AI45" s="17" t="s">
        <v>62</v>
      </c>
      <c r="AJ45" s="17" t="s">
        <v>63</v>
      </c>
      <c r="AK45" s="17" t="s">
        <v>64</v>
      </c>
      <c r="AL45" s="17" t="s">
        <v>65</v>
      </c>
    </row>
    <row r="46" spans="1:38" ht="15.75" customHeight="1" x14ac:dyDescent="0.2">
      <c r="A46" s="16"/>
      <c r="B46" s="3"/>
      <c r="C46" s="17" t="s">
        <v>385</v>
      </c>
      <c r="D46" s="17" t="s">
        <v>386</v>
      </c>
      <c r="E46" s="17" t="s">
        <v>387</v>
      </c>
      <c r="F46" s="17" t="s">
        <v>388</v>
      </c>
      <c r="G46" s="17" t="s">
        <v>66</v>
      </c>
      <c r="H46" s="17" t="s">
        <v>67</v>
      </c>
      <c r="I46" s="17" t="s">
        <v>68</v>
      </c>
      <c r="J46" s="17" t="s">
        <v>69</v>
      </c>
      <c r="K46" s="17" t="s">
        <v>70</v>
      </c>
      <c r="L46" s="17" t="s">
        <v>71</v>
      </c>
      <c r="M46" s="17" t="s">
        <v>72</v>
      </c>
      <c r="N46" s="17" t="s">
        <v>73</v>
      </c>
      <c r="O46" s="17" t="s">
        <v>74</v>
      </c>
      <c r="P46" s="17" t="s">
        <v>75</v>
      </c>
      <c r="Q46" s="17" t="s">
        <v>76</v>
      </c>
      <c r="R46" s="17" t="s">
        <v>77</v>
      </c>
      <c r="S46" s="58" t="s">
        <v>321</v>
      </c>
      <c r="T46" s="17" t="s">
        <v>322</v>
      </c>
      <c r="U46" s="17" t="s">
        <v>323</v>
      </c>
      <c r="V46" s="17" t="s">
        <v>324</v>
      </c>
      <c r="W46" s="58" t="s">
        <v>325</v>
      </c>
      <c r="X46" s="17" t="s">
        <v>326</v>
      </c>
      <c r="Y46" s="17" t="s">
        <v>327</v>
      </c>
      <c r="Z46" s="17" t="s">
        <v>328</v>
      </c>
      <c r="AA46" s="17" t="s">
        <v>329</v>
      </c>
      <c r="AB46" s="17" t="s">
        <v>330</v>
      </c>
      <c r="AC46" s="17" t="s">
        <v>331</v>
      </c>
      <c r="AD46" s="17" t="s">
        <v>332</v>
      </c>
      <c r="AE46" s="17" t="s">
        <v>333</v>
      </c>
      <c r="AF46" s="17" t="s">
        <v>334</v>
      </c>
      <c r="AG46" s="17" t="s">
        <v>335</v>
      </c>
      <c r="AH46" s="17" t="s">
        <v>336</v>
      </c>
      <c r="AI46" s="17" t="s">
        <v>337</v>
      </c>
      <c r="AJ46" s="17" t="s">
        <v>338</v>
      </c>
      <c r="AK46" s="17" t="s">
        <v>339</v>
      </c>
      <c r="AL46" s="17" t="s">
        <v>340</v>
      </c>
    </row>
    <row r="47" spans="1:38" ht="31.5" customHeight="1" x14ac:dyDescent="0.2">
      <c r="A47" s="18" t="s">
        <v>313</v>
      </c>
      <c r="B47" s="3"/>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row>
    <row r="48" spans="1:38" ht="31.5" customHeight="1" x14ac:dyDescent="0.2">
      <c r="A48" s="18"/>
      <c r="B48" s="3"/>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row>
    <row r="49" spans="1:38" ht="31.5" customHeight="1" x14ac:dyDescent="0.2">
      <c r="A49" s="18"/>
      <c r="B49" s="3"/>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row>
    <row r="50" spans="1:38" ht="31.5" customHeight="1" x14ac:dyDescent="0.2">
      <c r="A50" s="18"/>
      <c r="B50" s="3"/>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row>
    <row r="51" spans="1:38" ht="31.5" customHeight="1" x14ac:dyDescent="0.2">
      <c r="A51" s="18"/>
      <c r="B51" s="3"/>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row>
    <row r="52" spans="1:38" ht="15.75" customHeight="1" x14ac:dyDescent="0.2">
      <c r="A52" s="24"/>
      <c r="B52" s="3"/>
      <c r="C52" s="25"/>
      <c r="D52" s="25"/>
      <c r="E52" s="25"/>
      <c r="F52" s="25"/>
      <c r="G52" s="25"/>
      <c r="H52" s="25"/>
      <c r="I52" s="25"/>
      <c r="J52" s="25"/>
      <c r="K52" s="25"/>
      <c r="L52" s="25"/>
      <c r="M52" s="25"/>
      <c r="N52" s="25"/>
      <c r="O52" s="3"/>
      <c r="P52" s="3"/>
      <c r="Q52" s="3"/>
      <c r="R52" s="3"/>
      <c r="S52" s="3"/>
      <c r="T52" s="3"/>
      <c r="U52" s="3"/>
      <c r="V52" s="3"/>
      <c r="W52" s="3"/>
      <c r="X52" s="3"/>
      <c r="Y52" s="3"/>
      <c r="Z52" s="3"/>
      <c r="AA52" s="3"/>
      <c r="AB52" s="3"/>
      <c r="AC52" s="3"/>
      <c r="AD52" s="3"/>
      <c r="AE52" s="3"/>
      <c r="AF52" s="3"/>
      <c r="AG52" s="3"/>
      <c r="AH52" s="3"/>
      <c r="AI52" s="3"/>
      <c r="AJ52" s="3"/>
      <c r="AK52" s="3"/>
      <c r="AL52" s="3"/>
    </row>
    <row r="53" spans="1:38" ht="15.75" customHeight="1" x14ac:dyDescent="0.2">
      <c r="A53" s="15" t="s">
        <v>115</v>
      </c>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row>
    <row r="54" spans="1:38" ht="111.75" customHeight="1" x14ac:dyDescent="0.2">
      <c r="A54" s="4" t="s">
        <v>116</v>
      </c>
      <c r="B54" s="3"/>
      <c r="C54" s="85"/>
      <c r="D54" s="86"/>
      <c r="E54" s="86"/>
      <c r="F54" s="86"/>
      <c r="G54" s="86"/>
      <c r="H54" s="86"/>
      <c r="I54" s="86"/>
      <c r="J54" s="86"/>
      <c r="K54" s="86"/>
      <c r="L54" s="86"/>
      <c r="M54" s="86"/>
      <c r="N54" s="86"/>
      <c r="O54" s="86"/>
      <c r="P54" s="86"/>
      <c r="Q54" s="86"/>
      <c r="R54" s="86"/>
      <c r="S54" s="86"/>
      <c r="T54" s="87"/>
      <c r="U54" s="3"/>
      <c r="V54" s="3"/>
      <c r="W54" s="3"/>
      <c r="X54" s="3"/>
      <c r="Y54" s="3"/>
      <c r="Z54" s="3"/>
      <c r="AA54" s="3"/>
      <c r="AB54" s="3"/>
      <c r="AC54" s="3"/>
      <c r="AD54" s="3"/>
      <c r="AE54" s="3"/>
      <c r="AF54" s="3"/>
      <c r="AG54" s="3"/>
      <c r="AH54" s="3"/>
      <c r="AI54" s="3"/>
      <c r="AJ54" s="3"/>
      <c r="AK54" s="3"/>
      <c r="AL54" s="3"/>
    </row>
    <row r="55" spans="1:38" ht="31.5" customHeight="1" x14ac:dyDescent="0.2">
      <c r="A55" s="24"/>
      <c r="B55" s="3"/>
      <c r="C55" s="25"/>
      <c r="D55" s="25"/>
      <c r="E55" s="25"/>
      <c r="F55" s="25"/>
      <c r="G55" s="25"/>
      <c r="H55" s="25"/>
      <c r="I55" s="25"/>
      <c r="J55" s="25"/>
      <c r="K55" s="25"/>
      <c r="L55" s="25"/>
      <c r="M55" s="25"/>
      <c r="N55" s="25"/>
      <c r="O55" s="3"/>
      <c r="P55" s="3"/>
      <c r="Q55" s="3"/>
      <c r="R55" s="3"/>
      <c r="S55" s="3"/>
      <c r="T55" s="3"/>
      <c r="U55" s="3"/>
      <c r="V55" s="3"/>
      <c r="W55" s="3"/>
      <c r="X55" s="3"/>
      <c r="Y55" s="3"/>
      <c r="Z55" s="3"/>
      <c r="AA55" s="3"/>
      <c r="AB55" s="3"/>
      <c r="AC55" s="3"/>
      <c r="AD55" s="3"/>
      <c r="AE55" s="3"/>
      <c r="AF55" s="3"/>
      <c r="AG55" s="3"/>
      <c r="AH55" s="3"/>
      <c r="AI55" s="3"/>
      <c r="AJ55" s="3"/>
      <c r="AK55" s="3"/>
      <c r="AL55" s="3"/>
    </row>
    <row r="56" spans="1:38" ht="31.5" customHeight="1" x14ac:dyDescent="0.2">
      <c r="A56" s="15" t="s">
        <v>320</v>
      </c>
      <c r="B56" s="3"/>
      <c r="C56" s="109" t="s">
        <v>368</v>
      </c>
      <c r="D56" s="109"/>
      <c r="E56" s="109"/>
      <c r="F56" s="109"/>
      <c r="G56" s="109"/>
      <c r="H56" s="109"/>
      <c r="I56" s="109"/>
      <c r="J56" s="109"/>
      <c r="K56" s="109"/>
      <c r="L56" s="25"/>
      <c r="M56" s="25"/>
      <c r="N56" s="25"/>
      <c r="O56" s="3"/>
      <c r="P56" s="3"/>
      <c r="Q56" s="3"/>
      <c r="R56" s="3"/>
      <c r="S56" s="3"/>
      <c r="T56" s="3"/>
      <c r="U56" s="3"/>
      <c r="V56" s="3"/>
      <c r="W56" s="3"/>
      <c r="X56" s="3"/>
      <c r="Y56" s="3"/>
      <c r="Z56" s="3"/>
      <c r="AA56" s="3"/>
      <c r="AB56" s="3"/>
      <c r="AC56" s="3"/>
      <c r="AD56" s="3"/>
      <c r="AE56" s="3"/>
      <c r="AF56" s="3"/>
      <c r="AG56" s="3"/>
      <c r="AH56" s="3"/>
      <c r="AI56" s="3"/>
      <c r="AJ56" s="3"/>
      <c r="AK56" s="3"/>
      <c r="AL56" s="3"/>
    </row>
    <row r="57" spans="1:38" ht="283" customHeight="1" x14ac:dyDescent="0.2">
      <c r="A57" s="24"/>
      <c r="B57" s="3"/>
      <c r="C57" s="25"/>
      <c r="D57" s="25"/>
      <c r="E57" s="25"/>
      <c r="F57" s="25"/>
      <c r="G57" s="25"/>
      <c r="H57" s="25"/>
      <c r="I57" s="25"/>
      <c r="J57" s="25"/>
      <c r="K57" s="25"/>
      <c r="L57" s="25"/>
      <c r="M57" s="25"/>
      <c r="N57" s="25"/>
      <c r="O57" s="3"/>
      <c r="P57" s="3"/>
      <c r="Q57" s="3"/>
      <c r="R57" s="3"/>
      <c r="S57" s="3"/>
      <c r="T57" s="3"/>
      <c r="U57" s="3"/>
      <c r="V57" s="3"/>
      <c r="W57" s="3"/>
      <c r="X57" s="3"/>
      <c r="Y57" s="3"/>
      <c r="Z57" s="3"/>
      <c r="AA57" s="3"/>
      <c r="AB57" s="3"/>
      <c r="AC57" s="3"/>
      <c r="AD57" s="3"/>
      <c r="AE57" s="3"/>
      <c r="AF57" s="3"/>
      <c r="AG57" s="3"/>
      <c r="AH57" s="3"/>
      <c r="AI57" s="3"/>
      <c r="AJ57" s="3"/>
      <c r="AK57" s="3"/>
      <c r="AL57" s="3"/>
    </row>
    <row r="58" spans="1:38" ht="35" customHeight="1" x14ac:dyDescent="0.2">
      <c r="A58" s="24"/>
      <c r="B58" s="3"/>
      <c r="C58" s="25"/>
      <c r="D58" s="25"/>
      <c r="E58" s="25"/>
      <c r="F58" s="25"/>
      <c r="G58" s="25"/>
      <c r="H58" s="25"/>
      <c r="I58" s="25"/>
      <c r="J58" s="25"/>
      <c r="K58" s="25"/>
      <c r="L58" s="25"/>
      <c r="M58" s="25"/>
      <c r="N58" s="25"/>
      <c r="O58" s="3"/>
      <c r="P58" s="3"/>
      <c r="Q58" s="3"/>
      <c r="R58" s="3"/>
      <c r="S58" s="3"/>
      <c r="T58" s="3"/>
      <c r="U58" s="3"/>
      <c r="V58" s="3"/>
      <c r="W58" s="3"/>
      <c r="X58" s="3"/>
      <c r="Y58" s="3"/>
      <c r="Z58" s="3"/>
      <c r="AA58" s="3"/>
      <c r="AB58" s="3"/>
      <c r="AC58" s="3"/>
      <c r="AD58" s="3"/>
      <c r="AE58" s="3"/>
      <c r="AF58" s="3"/>
      <c r="AG58" s="3"/>
      <c r="AH58" s="3"/>
      <c r="AI58" s="3"/>
      <c r="AJ58" s="3"/>
      <c r="AK58" s="3"/>
      <c r="AL58" s="3"/>
    </row>
    <row r="59" spans="1:38" ht="31.5" customHeight="1" x14ac:dyDescent="0.2">
      <c r="A59" s="29"/>
      <c r="B59" s="29"/>
      <c r="C59" s="29"/>
      <c r="D59" s="29"/>
      <c r="E59" s="29"/>
      <c r="F59" s="29"/>
      <c r="G59" s="29"/>
      <c r="H59" s="29"/>
      <c r="I59" s="29"/>
      <c r="J59" s="29"/>
      <c r="K59" s="29"/>
      <c r="L59" s="29"/>
      <c r="M59" s="29"/>
      <c r="N59" s="29"/>
      <c r="O59" s="29"/>
      <c r="P59" s="29"/>
      <c r="Q59" s="29"/>
      <c r="R59" s="29"/>
      <c r="S59" s="29"/>
      <c r="T59" s="29"/>
      <c r="U59" s="3"/>
      <c r="V59" s="3"/>
      <c r="W59" s="3"/>
      <c r="X59" s="3"/>
      <c r="Y59" s="3"/>
      <c r="Z59" s="3"/>
      <c r="AA59" s="3"/>
      <c r="AB59" s="3"/>
      <c r="AC59" s="3"/>
      <c r="AD59" s="3"/>
      <c r="AE59" s="3"/>
      <c r="AF59" s="3"/>
      <c r="AG59" s="3"/>
      <c r="AH59" s="3"/>
      <c r="AI59" s="3"/>
      <c r="AJ59" s="3"/>
      <c r="AK59" s="3"/>
      <c r="AL59" s="3"/>
    </row>
    <row r="60" spans="1:38" ht="17.25" customHeight="1" x14ac:dyDescent="0.2">
      <c r="A60" s="15" t="s">
        <v>117</v>
      </c>
      <c r="B60" s="3"/>
      <c r="C60" s="25"/>
      <c r="D60" s="25"/>
      <c r="E60" s="25"/>
      <c r="F60" s="25"/>
      <c r="G60" s="25"/>
      <c r="H60" s="25"/>
      <c r="I60" s="25"/>
      <c r="J60" s="25"/>
      <c r="K60" s="25"/>
      <c r="L60" s="25"/>
      <c r="M60" s="25"/>
      <c r="N60" s="25"/>
      <c r="O60" s="3"/>
      <c r="P60" s="3"/>
      <c r="Q60" s="3"/>
      <c r="R60" s="3"/>
      <c r="S60" s="3"/>
      <c r="T60" s="3"/>
      <c r="U60" s="3"/>
      <c r="V60" s="3"/>
      <c r="W60" s="3"/>
      <c r="X60" s="3"/>
      <c r="Y60" s="3"/>
      <c r="Z60" s="3"/>
      <c r="AA60" s="3"/>
      <c r="AB60" s="3"/>
      <c r="AC60" s="3"/>
      <c r="AD60" s="3"/>
      <c r="AE60" s="3"/>
      <c r="AF60" s="3"/>
      <c r="AG60" s="3"/>
      <c r="AH60" s="3"/>
      <c r="AI60" s="3"/>
      <c r="AJ60" s="3"/>
      <c r="AK60" s="3"/>
      <c r="AL60" s="3"/>
    </row>
    <row r="61" spans="1:38" ht="48" customHeight="1" x14ac:dyDescent="0.2">
      <c r="A61" s="31" t="str">
        <f t="shared" ref="A61:A62" si="3">(A2)</f>
        <v>Indicator 19b</v>
      </c>
      <c r="B61" s="3"/>
      <c r="C61" s="82" t="str">
        <f>"The first two categories in "&amp;A1&amp;" (care homes and support services) will be registered with the Care Inspectorate and will have a unique care service (CS) number which should be recorded in the spaces available above."</f>
        <v>The first two categories in Indicator 19a (care homes and support services) will be registered with the Care Inspectorate and will have a unique care service (CS) number which should be recorded in the spaces available above.</v>
      </c>
      <c r="D61" s="83"/>
      <c r="E61" s="83"/>
      <c r="F61" s="83"/>
      <c r="G61" s="83"/>
      <c r="H61" s="83"/>
      <c r="I61" s="83"/>
      <c r="J61" s="83"/>
      <c r="K61" s="83"/>
      <c r="L61" s="83"/>
      <c r="M61" s="83"/>
      <c r="N61" s="83"/>
      <c r="O61" s="3"/>
      <c r="P61" s="3"/>
      <c r="Q61" s="3"/>
      <c r="R61" s="3"/>
      <c r="S61" s="3"/>
      <c r="T61" s="3"/>
      <c r="U61" s="3"/>
      <c r="V61" s="3"/>
      <c r="W61" s="3"/>
      <c r="X61" s="3"/>
      <c r="Y61" s="3"/>
      <c r="Z61" s="3"/>
      <c r="AA61" s="3"/>
      <c r="AB61" s="3"/>
      <c r="AC61" s="3"/>
      <c r="AD61" s="3"/>
      <c r="AE61" s="3"/>
      <c r="AF61" s="3"/>
      <c r="AG61" s="3"/>
      <c r="AH61" s="3"/>
      <c r="AI61" s="3"/>
      <c r="AJ61" s="3"/>
      <c r="AK61" s="3"/>
      <c r="AL61" s="3"/>
    </row>
    <row r="62" spans="1:38" ht="63.75" customHeight="1" x14ac:dyDescent="0.2">
      <c r="A62" s="41" t="str">
        <f t="shared" si="3"/>
        <v>Indicator 19c</v>
      </c>
      <c r="B62" s="3"/>
      <c r="C62" s="82" t="s">
        <v>314</v>
      </c>
      <c r="D62" s="83"/>
      <c r="E62" s="83"/>
      <c r="F62" s="83"/>
      <c r="G62" s="83"/>
      <c r="H62" s="83"/>
      <c r="I62" s="83"/>
      <c r="J62" s="83"/>
      <c r="K62" s="83"/>
      <c r="L62" s="83"/>
      <c r="M62" s="83"/>
      <c r="N62" s="83"/>
      <c r="O62" s="3"/>
      <c r="P62" s="3"/>
      <c r="Q62" s="3"/>
      <c r="R62" s="3"/>
      <c r="S62" s="3"/>
      <c r="T62" s="3"/>
      <c r="U62" s="3"/>
      <c r="V62" s="3"/>
      <c r="W62" s="3"/>
      <c r="X62" s="3"/>
      <c r="Y62" s="3"/>
      <c r="Z62" s="3"/>
      <c r="AA62" s="3"/>
      <c r="AB62" s="3"/>
      <c r="AC62" s="3"/>
      <c r="AD62" s="3"/>
      <c r="AE62" s="3"/>
      <c r="AF62" s="3"/>
      <c r="AG62" s="3"/>
      <c r="AH62" s="3"/>
      <c r="AI62" s="3"/>
      <c r="AJ62" s="3"/>
      <c r="AK62" s="3"/>
      <c r="AL62" s="3"/>
    </row>
    <row r="63" spans="1:38" ht="17.25" customHeight="1" x14ac:dyDescent="0.2">
      <c r="A63" s="24"/>
      <c r="B63" s="3"/>
      <c r="C63" s="32"/>
      <c r="D63" s="32"/>
      <c r="E63" s="32"/>
      <c r="F63" s="32"/>
      <c r="G63" s="32"/>
      <c r="H63" s="32"/>
      <c r="I63" s="32"/>
      <c r="J63" s="32"/>
      <c r="K63" s="32"/>
      <c r="L63" s="32"/>
      <c r="M63" s="32"/>
      <c r="N63" s="32"/>
      <c r="O63" s="3"/>
      <c r="P63" s="3"/>
      <c r="Q63" s="3"/>
      <c r="R63" s="3"/>
      <c r="S63" s="3"/>
      <c r="T63" s="3"/>
      <c r="U63" s="3"/>
      <c r="V63" s="3"/>
      <c r="W63" s="3"/>
      <c r="X63" s="3"/>
      <c r="Y63" s="3"/>
      <c r="Z63" s="3"/>
      <c r="AA63" s="3"/>
      <c r="AB63" s="3"/>
      <c r="AC63" s="3"/>
      <c r="AD63" s="3"/>
      <c r="AE63" s="3"/>
      <c r="AF63" s="3"/>
      <c r="AG63" s="3"/>
      <c r="AH63" s="3"/>
      <c r="AI63" s="3"/>
      <c r="AJ63" s="3"/>
      <c r="AK63" s="3"/>
      <c r="AL63" s="3"/>
    </row>
    <row r="64" spans="1:38" ht="17.25" customHeight="1" x14ac:dyDescent="0.2">
      <c r="A64" s="15" t="s">
        <v>119</v>
      </c>
      <c r="B64" s="3"/>
      <c r="C64" s="32"/>
      <c r="D64" s="32"/>
      <c r="E64" s="32"/>
      <c r="F64" s="32"/>
      <c r="G64" s="32"/>
      <c r="H64" s="32"/>
      <c r="I64" s="32"/>
      <c r="J64" s="32"/>
      <c r="K64" s="32"/>
      <c r="L64" s="32"/>
      <c r="M64" s="32"/>
      <c r="N64" s="32"/>
      <c r="O64" s="3"/>
      <c r="P64" s="3"/>
      <c r="Q64" s="3"/>
      <c r="R64" s="3"/>
      <c r="S64" s="3"/>
      <c r="T64" s="3"/>
      <c r="U64" s="3"/>
      <c r="V64" s="3"/>
      <c r="W64" s="3"/>
      <c r="X64" s="3"/>
      <c r="Y64" s="3"/>
      <c r="Z64" s="3"/>
      <c r="AA64" s="3"/>
      <c r="AB64" s="3"/>
      <c r="AC64" s="3"/>
      <c r="AD64" s="3"/>
      <c r="AE64" s="3"/>
      <c r="AF64" s="3"/>
      <c r="AG64" s="3"/>
      <c r="AH64" s="3"/>
      <c r="AI64" s="3"/>
      <c r="AJ64" s="3"/>
      <c r="AK64" s="3"/>
      <c r="AL64" s="3"/>
    </row>
    <row r="65" spans="1:38" ht="159" customHeight="1" x14ac:dyDescent="0.2">
      <c r="A65" s="31" t="s">
        <v>315</v>
      </c>
      <c r="B65" s="3"/>
      <c r="C65" s="102" t="s">
        <v>316</v>
      </c>
      <c r="D65" s="83"/>
      <c r="E65" s="83"/>
      <c r="F65" s="83"/>
      <c r="G65" s="83"/>
      <c r="H65" s="83"/>
      <c r="I65" s="83"/>
      <c r="J65" s="83"/>
      <c r="K65" s="83"/>
      <c r="L65" s="83"/>
      <c r="M65" s="83"/>
      <c r="N65" s="83"/>
      <c r="O65" s="3"/>
      <c r="P65" s="3"/>
      <c r="Q65" s="3"/>
      <c r="R65" s="3"/>
      <c r="S65" s="3"/>
      <c r="T65" s="3"/>
      <c r="U65" s="3"/>
      <c r="V65" s="3"/>
      <c r="W65" s="3"/>
      <c r="X65" s="3"/>
      <c r="Y65" s="3"/>
      <c r="Z65" s="3"/>
      <c r="AA65" s="3"/>
      <c r="AB65" s="3"/>
      <c r="AC65" s="3"/>
      <c r="AD65" s="3"/>
      <c r="AE65" s="3"/>
      <c r="AF65" s="3"/>
      <c r="AG65" s="3"/>
      <c r="AH65" s="3"/>
      <c r="AI65" s="3"/>
      <c r="AJ65" s="3"/>
      <c r="AK65" s="3"/>
      <c r="AL65" s="3"/>
    </row>
    <row r="66" spans="1:38" ht="15.75" customHeight="1" x14ac:dyDescent="0.2">
      <c r="A66" s="3"/>
      <c r="B66" s="3"/>
      <c r="C66" s="32"/>
      <c r="D66" s="32"/>
      <c r="E66" s="32"/>
      <c r="F66" s="32"/>
      <c r="G66" s="32"/>
      <c r="H66" s="32"/>
      <c r="I66" s="32"/>
      <c r="J66" s="32"/>
      <c r="K66" s="32"/>
      <c r="L66" s="32"/>
      <c r="M66" s="32"/>
      <c r="N66" s="32"/>
      <c r="O66" s="3"/>
      <c r="P66" s="3"/>
      <c r="Q66" s="3"/>
      <c r="R66" s="3"/>
      <c r="S66" s="3"/>
      <c r="T66" s="3"/>
      <c r="U66" s="3"/>
      <c r="V66" s="3"/>
      <c r="W66" s="3"/>
      <c r="X66" s="3"/>
      <c r="Y66" s="3"/>
      <c r="Z66" s="3"/>
      <c r="AA66" s="3"/>
      <c r="AB66" s="3"/>
      <c r="AC66" s="3"/>
      <c r="AD66" s="3"/>
      <c r="AE66" s="3"/>
      <c r="AF66" s="3"/>
      <c r="AG66" s="3"/>
      <c r="AH66" s="3"/>
      <c r="AI66" s="3"/>
      <c r="AJ66" s="3"/>
      <c r="AK66" s="3"/>
      <c r="AL66" s="3"/>
    </row>
    <row r="67" spans="1:38" ht="15.75" customHeight="1" x14ac:dyDescent="0.2">
      <c r="A67" s="15" t="s">
        <v>142</v>
      </c>
      <c r="B67" s="3"/>
      <c r="C67" s="32"/>
      <c r="D67" s="32"/>
      <c r="E67" s="32"/>
      <c r="F67" s="32"/>
      <c r="G67" s="32"/>
      <c r="H67" s="32"/>
      <c r="I67" s="32"/>
      <c r="J67" s="32"/>
      <c r="K67" s="32"/>
      <c r="L67" s="32"/>
      <c r="M67" s="32"/>
      <c r="N67" s="32"/>
      <c r="O67" s="3"/>
      <c r="P67" s="3"/>
      <c r="Q67" s="3"/>
      <c r="R67" s="3"/>
      <c r="S67" s="3"/>
      <c r="T67" s="3"/>
      <c r="U67" s="3"/>
      <c r="V67" s="3"/>
      <c r="W67" s="3"/>
      <c r="X67" s="3"/>
      <c r="Y67" s="3"/>
      <c r="Z67" s="3"/>
      <c r="AA67" s="3"/>
      <c r="AB67" s="3"/>
      <c r="AC67" s="3"/>
      <c r="AD67" s="3"/>
      <c r="AE67" s="3"/>
      <c r="AF67" s="3"/>
      <c r="AG67" s="3"/>
      <c r="AH67" s="3"/>
      <c r="AI67" s="3"/>
      <c r="AJ67" s="3"/>
      <c r="AK67" s="3"/>
      <c r="AL67" s="3"/>
    </row>
    <row r="68" spans="1:38" ht="15.75" customHeight="1" x14ac:dyDescent="0.2">
      <c r="A68" s="38" t="str">
        <f>(A1&amp;" – "&amp;A3)</f>
        <v>Indicator 19a – Indicator 19c</v>
      </c>
      <c r="B68" s="3"/>
      <c r="C68" s="82" t="s">
        <v>317</v>
      </c>
      <c r="D68" s="83"/>
      <c r="E68" s="83"/>
      <c r="F68" s="83"/>
      <c r="G68" s="83"/>
      <c r="H68" s="83"/>
      <c r="I68" s="83"/>
      <c r="J68" s="83"/>
      <c r="K68" s="83"/>
      <c r="L68" s="83"/>
      <c r="M68" s="83"/>
      <c r="N68" s="83"/>
      <c r="O68" s="3"/>
      <c r="P68" s="3"/>
      <c r="Q68" s="3"/>
      <c r="R68" s="3"/>
      <c r="S68" s="3"/>
      <c r="T68" s="3"/>
      <c r="U68" s="3"/>
      <c r="V68" s="3"/>
      <c r="W68" s="3"/>
      <c r="X68" s="3"/>
      <c r="Y68" s="3"/>
      <c r="Z68" s="3"/>
      <c r="AA68" s="3"/>
      <c r="AB68" s="3"/>
      <c r="AC68" s="3"/>
      <c r="AD68" s="3"/>
      <c r="AE68" s="3"/>
      <c r="AF68" s="3"/>
      <c r="AG68" s="3"/>
      <c r="AH68" s="3"/>
      <c r="AI68" s="3"/>
      <c r="AJ68" s="3"/>
      <c r="AK68" s="3"/>
      <c r="AL68" s="3"/>
    </row>
    <row r="69" spans="1:38" ht="15.75" customHeight="1" x14ac:dyDescent="0.2">
      <c r="A69" s="3"/>
      <c r="B69" s="3"/>
      <c r="C69" s="32"/>
      <c r="D69" s="32"/>
      <c r="E69" s="32"/>
      <c r="F69" s="32"/>
      <c r="G69" s="32"/>
      <c r="H69" s="32"/>
      <c r="I69" s="32"/>
      <c r="J69" s="32"/>
      <c r="K69" s="32"/>
      <c r="L69" s="32"/>
      <c r="M69" s="32"/>
      <c r="N69" s="32"/>
      <c r="O69" s="3"/>
      <c r="P69" s="3"/>
      <c r="Q69" s="3"/>
      <c r="R69" s="3"/>
      <c r="S69" s="3"/>
      <c r="T69" s="3"/>
      <c r="U69" s="3"/>
      <c r="V69" s="3"/>
      <c r="W69" s="3"/>
      <c r="X69" s="3"/>
      <c r="Y69" s="3"/>
      <c r="Z69" s="3"/>
      <c r="AA69" s="3"/>
      <c r="AB69" s="3"/>
      <c r="AC69" s="3"/>
      <c r="AD69" s="3"/>
      <c r="AE69" s="3"/>
      <c r="AF69" s="3"/>
      <c r="AG69" s="3"/>
      <c r="AH69" s="3"/>
      <c r="AI69" s="3"/>
      <c r="AJ69" s="3"/>
      <c r="AK69" s="3"/>
      <c r="AL69" s="3"/>
    </row>
    <row r="70" spans="1:38" ht="15.75" customHeight="1" x14ac:dyDescent="0.2">
      <c r="A70" s="15" t="s">
        <v>144</v>
      </c>
      <c r="B70" s="3"/>
      <c r="C70" s="32"/>
      <c r="D70" s="32"/>
      <c r="E70" s="32"/>
      <c r="F70" s="32"/>
      <c r="G70" s="32"/>
      <c r="H70" s="32"/>
      <c r="I70" s="32"/>
      <c r="J70" s="32"/>
      <c r="K70" s="32"/>
      <c r="L70" s="32"/>
      <c r="M70" s="32"/>
      <c r="N70" s="32"/>
      <c r="O70" s="3"/>
      <c r="P70" s="3"/>
      <c r="Q70" s="3"/>
      <c r="R70" s="3"/>
      <c r="S70" s="3"/>
      <c r="T70" s="3"/>
      <c r="U70" s="3"/>
      <c r="V70" s="3"/>
      <c r="W70" s="3"/>
      <c r="X70" s="3"/>
      <c r="Y70" s="3"/>
      <c r="Z70" s="3"/>
      <c r="AA70" s="3"/>
      <c r="AB70" s="3"/>
      <c r="AC70" s="3"/>
      <c r="AD70" s="3"/>
      <c r="AE70" s="3"/>
      <c r="AF70" s="3"/>
      <c r="AG70" s="3"/>
      <c r="AH70" s="3"/>
      <c r="AI70" s="3"/>
      <c r="AJ70" s="3"/>
      <c r="AK70" s="3"/>
      <c r="AL70" s="3"/>
    </row>
    <row r="71" spans="1:38" ht="31.5" customHeight="1" x14ac:dyDescent="0.2">
      <c r="A71" s="31" t="str">
        <f t="shared" ref="A71:A72" si="4">(A1)</f>
        <v>Indicator 19a</v>
      </c>
      <c r="B71" s="3"/>
      <c r="C71" s="82" t="s">
        <v>318</v>
      </c>
      <c r="D71" s="83"/>
      <c r="E71" s="83"/>
      <c r="F71" s="83"/>
      <c r="G71" s="83"/>
      <c r="H71" s="83"/>
      <c r="I71" s="83"/>
      <c r="J71" s="83"/>
      <c r="K71" s="83"/>
      <c r="L71" s="83"/>
      <c r="M71" s="83"/>
      <c r="N71" s="83"/>
      <c r="O71" s="36"/>
      <c r="P71" s="36"/>
      <c r="Q71" s="36"/>
      <c r="R71" s="36"/>
      <c r="S71" s="36"/>
      <c r="T71" s="36"/>
      <c r="U71" s="36"/>
      <c r="V71" s="36"/>
      <c r="W71" s="36"/>
      <c r="X71" s="36"/>
      <c r="Y71" s="36"/>
      <c r="Z71" s="36"/>
      <c r="AA71" s="36"/>
      <c r="AB71" s="36"/>
      <c r="AC71" s="36"/>
      <c r="AD71" s="36"/>
      <c r="AE71" s="36"/>
      <c r="AF71" s="36"/>
      <c r="AG71" s="36"/>
      <c r="AH71" s="36"/>
      <c r="AI71" s="36"/>
      <c r="AJ71" s="36"/>
      <c r="AK71" s="36"/>
      <c r="AL71" s="36"/>
    </row>
    <row r="72" spans="1:38" ht="31.5" customHeight="1" x14ac:dyDescent="0.2">
      <c r="A72" s="41" t="str">
        <f t="shared" si="4"/>
        <v>Indicator 19b</v>
      </c>
      <c r="B72" s="3"/>
      <c r="C72" s="82" t="s">
        <v>319</v>
      </c>
      <c r="D72" s="83"/>
      <c r="E72" s="83"/>
      <c r="F72" s="83"/>
      <c r="G72" s="83"/>
      <c r="H72" s="83"/>
      <c r="I72" s="83"/>
      <c r="J72" s="83"/>
      <c r="K72" s="83"/>
      <c r="L72" s="83"/>
      <c r="M72" s="83"/>
      <c r="N72" s="83"/>
      <c r="O72" s="3"/>
      <c r="P72" s="3"/>
      <c r="Q72" s="3"/>
      <c r="R72" s="3"/>
      <c r="S72" s="3"/>
      <c r="T72" s="3"/>
      <c r="U72" s="3"/>
      <c r="V72" s="3"/>
      <c r="W72" s="3"/>
      <c r="X72" s="3"/>
      <c r="Y72" s="3"/>
      <c r="Z72" s="3"/>
      <c r="AA72" s="3"/>
      <c r="AB72" s="3"/>
      <c r="AC72" s="3"/>
      <c r="AD72" s="3"/>
      <c r="AE72" s="3"/>
      <c r="AF72" s="3"/>
      <c r="AG72" s="3"/>
      <c r="AH72" s="3"/>
      <c r="AI72" s="3"/>
      <c r="AJ72" s="3"/>
      <c r="AK72" s="3"/>
      <c r="AL72" s="3"/>
    </row>
    <row r="73" spans="1:38" ht="15" customHeight="1" x14ac:dyDescent="0.2">
      <c r="A73" s="3"/>
      <c r="B73" s="3"/>
      <c r="C73" s="32"/>
      <c r="D73" s="32"/>
      <c r="E73" s="32"/>
      <c r="F73" s="32"/>
      <c r="G73" s="32"/>
      <c r="H73" s="32"/>
      <c r="I73" s="32"/>
      <c r="J73" s="32"/>
      <c r="K73" s="32"/>
      <c r="L73" s="32"/>
      <c r="M73" s="32"/>
      <c r="N73" s="32"/>
      <c r="O73" s="3"/>
      <c r="P73" s="3"/>
      <c r="Q73" s="3"/>
      <c r="R73" s="3"/>
      <c r="S73" s="3"/>
      <c r="T73" s="3"/>
      <c r="U73" s="3"/>
      <c r="V73" s="3"/>
      <c r="W73" s="3"/>
      <c r="X73" s="3"/>
      <c r="Y73" s="3"/>
      <c r="Z73" s="3"/>
      <c r="AA73" s="3"/>
      <c r="AB73" s="3"/>
      <c r="AC73" s="3"/>
      <c r="AD73" s="3"/>
      <c r="AE73" s="3"/>
      <c r="AF73" s="3"/>
      <c r="AG73" s="3"/>
      <c r="AH73" s="3"/>
      <c r="AI73" s="3"/>
      <c r="AJ73" s="3"/>
      <c r="AK73" s="3"/>
      <c r="AL73" s="3"/>
    </row>
    <row r="74" spans="1:38"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row>
    <row r="75" spans="1:38"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row>
    <row r="76" spans="1:38"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row>
    <row r="77" spans="1:38"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row>
    <row r="78" spans="1:38" ht="15.75" customHeight="1" x14ac:dyDescent="0.2">
      <c r="A78" s="3"/>
      <c r="B78" s="3"/>
      <c r="C78" s="3"/>
      <c r="D78" s="3"/>
      <c r="E78" s="3"/>
      <c r="F78" s="3"/>
      <c r="G78" s="62"/>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row>
    <row r="79" spans="1:38" ht="15.75" customHeight="1" x14ac:dyDescent="0.2">
      <c r="A79" s="3"/>
      <c r="B79" s="3"/>
      <c r="C79" s="3"/>
      <c r="D79" s="3"/>
      <c r="E79" s="3"/>
      <c r="F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row>
    <row r="80" spans="1:38"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row>
    <row r="81" spans="1:38"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row>
    <row r="82" spans="1:38"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row>
    <row r="83" spans="1:38"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row>
    <row r="84" spans="1:38"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row>
    <row r="85" spans="1:38"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row>
    <row r="86" spans="1:38"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row>
    <row r="87" spans="1:38"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row>
    <row r="88" spans="1:38"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row>
    <row r="89" spans="1:38"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row>
    <row r="90" spans="1:38"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row>
    <row r="91" spans="1:38"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row>
    <row r="92" spans="1:38"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row>
    <row r="93" spans="1:38"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row>
    <row r="94" spans="1:38"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row>
    <row r="95" spans="1:38"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row>
    <row r="96" spans="1:38"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row>
    <row r="97" spans="1:38"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row>
    <row r="98" spans="1:38"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row>
    <row r="99" spans="1:38"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row>
    <row r="100" spans="1:38"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row>
    <row r="101" spans="1:38"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row>
    <row r="102" spans="1:38"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row>
    <row r="103" spans="1:38"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row>
    <row r="104" spans="1:38"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row>
    <row r="105" spans="1:38"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row>
    <row r="106" spans="1:38"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row>
    <row r="107" spans="1:38"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row>
    <row r="108" spans="1:38"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row>
    <row r="109" spans="1:38"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row>
    <row r="110" spans="1:38"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row>
    <row r="111" spans="1:38"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row>
    <row r="112" spans="1:38"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row>
    <row r="113" spans="1:38"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row>
    <row r="114" spans="1:38"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row>
    <row r="115" spans="1:38"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row>
    <row r="116" spans="1:38"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row>
    <row r="117" spans="1:38"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row>
    <row r="118" spans="1:38"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row>
    <row r="119" spans="1:38"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row>
    <row r="120" spans="1:38"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row>
    <row r="121" spans="1:38"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row>
    <row r="122" spans="1:38"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row>
    <row r="123" spans="1:38"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row>
    <row r="124" spans="1:38"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row>
    <row r="125" spans="1:38"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row>
    <row r="126" spans="1:38"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row>
    <row r="127" spans="1:38"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row>
    <row r="128" spans="1:38"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row>
    <row r="129" spans="1:38"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row>
    <row r="130" spans="1:38"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row>
    <row r="131" spans="1:38"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row>
    <row r="132" spans="1:38"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row>
    <row r="133" spans="1:38"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row>
    <row r="134" spans="1:38"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row>
    <row r="135" spans="1:38"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row>
    <row r="136" spans="1:38"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row>
    <row r="137" spans="1:38"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row>
    <row r="138" spans="1:38"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row>
    <row r="139" spans="1:38"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row>
    <row r="140" spans="1:38"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row>
    <row r="141" spans="1:38"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row>
    <row r="142" spans="1:38"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row>
    <row r="143" spans="1:38"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row>
    <row r="144" spans="1:38"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row>
    <row r="145" spans="1:38"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row>
    <row r="146" spans="1:38"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row>
    <row r="147" spans="1:38"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row>
    <row r="148" spans="1:38"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row>
    <row r="149" spans="1:38"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row>
    <row r="150" spans="1:38"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row>
    <row r="151" spans="1:38"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row>
    <row r="152" spans="1:38"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row>
    <row r="153" spans="1:38"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row>
    <row r="154" spans="1:38"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row>
    <row r="155" spans="1:38"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row>
    <row r="156" spans="1:38"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row>
    <row r="157" spans="1:38"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row>
    <row r="158" spans="1:38"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row>
    <row r="159" spans="1:38"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row>
    <row r="160" spans="1:38"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row>
    <row r="161" spans="1:38"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row>
    <row r="162" spans="1:38"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row>
    <row r="163" spans="1:38"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row>
    <row r="164" spans="1:38"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row>
    <row r="165" spans="1:38"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row>
    <row r="166" spans="1:38"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row>
    <row r="167" spans="1:38"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row>
    <row r="168" spans="1:38"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row>
    <row r="169" spans="1:38"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row>
    <row r="170" spans="1:38"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row>
    <row r="171" spans="1:38"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row>
    <row r="172" spans="1:38"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row>
    <row r="173" spans="1:38"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row>
    <row r="174" spans="1:38"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row>
    <row r="175" spans="1:38"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row>
    <row r="176" spans="1:38"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row>
    <row r="177" spans="1:38"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row>
    <row r="178" spans="1:38"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row>
    <row r="179" spans="1:38"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row>
    <row r="180" spans="1:38"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row>
    <row r="181" spans="1:38"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row>
    <row r="182" spans="1:38"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row>
    <row r="183" spans="1:38"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row>
    <row r="184" spans="1:38"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row>
    <row r="185" spans="1:38"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row>
    <row r="186" spans="1:38"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row>
    <row r="187" spans="1:38"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row>
    <row r="188" spans="1:38"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row>
    <row r="189" spans="1:38"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row>
    <row r="190" spans="1:38"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row>
    <row r="191" spans="1:38"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row>
    <row r="192" spans="1:38"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row>
    <row r="193" spans="1:38"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row>
    <row r="194" spans="1:38"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row>
    <row r="195" spans="1:38"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row>
    <row r="196" spans="1:38"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row>
    <row r="197" spans="1:38"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row>
    <row r="198" spans="1:38"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row>
    <row r="199" spans="1:38"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row>
    <row r="200" spans="1:38"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row>
    <row r="201" spans="1:38"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row>
    <row r="202" spans="1:38"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row>
    <row r="203" spans="1:38"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row>
    <row r="204" spans="1:38"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row>
    <row r="205" spans="1:38"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row>
    <row r="206" spans="1:38"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row>
    <row r="207" spans="1:38"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row>
    <row r="208" spans="1:38"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row>
    <row r="209" spans="1:38"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row>
    <row r="210" spans="1:38"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row>
    <row r="211" spans="1:38"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row>
    <row r="212" spans="1:38"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row>
    <row r="213" spans="1:38"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row>
    <row r="214" spans="1:38"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row>
    <row r="215" spans="1:38"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row>
    <row r="216" spans="1:38"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row>
    <row r="217" spans="1:38"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row>
    <row r="218" spans="1:38"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row>
    <row r="219" spans="1:38"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row>
    <row r="220" spans="1:38"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row>
    <row r="221" spans="1:38"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row>
    <row r="222" spans="1:38"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row>
    <row r="223" spans="1:38"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row>
    <row r="224" spans="1:38"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row>
    <row r="225" spans="1:38"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row>
    <row r="226" spans="1:38"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row>
    <row r="227" spans="1:38"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row>
    <row r="228" spans="1:38"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row>
    <row r="229" spans="1:38"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row>
    <row r="230" spans="1:38"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row>
    <row r="231" spans="1:38"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row>
    <row r="232" spans="1:38"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row>
    <row r="233" spans="1:38"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row>
    <row r="234" spans="1:38"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row>
    <row r="235" spans="1:38"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row>
    <row r="236" spans="1:38"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row>
    <row r="237" spans="1:38"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row>
    <row r="238" spans="1:38"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row>
    <row r="239" spans="1:38"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row>
    <row r="240" spans="1:38"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row>
    <row r="241" spans="1:38"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row>
    <row r="242" spans="1:38"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row>
    <row r="243" spans="1:38"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row>
    <row r="244" spans="1:38"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row>
    <row r="245" spans="1:38"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row>
    <row r="246" spans="1:38"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row>
    <row r="247" spans="1:38"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row>
    <row r="248" spans="1:38"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row>
    <row r="249" spans="1:38"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row>
    <row r="250" spans="1:38"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row>
    <row r="251" spans="1:38"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row>
    <row r="252" spans="1:38"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row>
    <row r="253" spans="1:38"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row>
    <row r="254" spans="1:38"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row>
    <row r="255" spans="1:38"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row>
    <row r="256" spans="1:38"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row>
    <row r="257" spans="1:38"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row>
    <row r="258" spans="1:38"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row>
    <row r="259" spans="1:38"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row>
    <row r="260" spans="1:38"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row>
    <row r="261" spans="1:38"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row>
    <row r="262" spans="1:38"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row>
    <row r="263" spans="1:38"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row>
    <row r="264" spans="1:38"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row>
    <row r="265" spans="1:38"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row>
    <row r="266" spans="1:38"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row>
    <row r="267" spans="1:38"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row>
    <row r="268" spans="1:38"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row>
    <row r="269" spans="1:38"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row>
    <row r="270" spans="1:38"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row>
    <row r="271" spans="1:38"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row>
    <row r="272" spans="1:38"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row>
    <row r="273" spans="1:38"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row>
    <row r="274" spans="1:38" ht="15.75" customHeight="1" x14ac:dyDescent="0.2"/>
    <row r="275" spans="1:38" ht="15.75" customHeight="1" x14ac:dyDescent="0.2"/>
    <row r="276" spans="1:38" ht="15.75" customHeight="1" x14ac:dyDescent="0.2"/>
    <row r="277" spans="1:38" ht="15.75" customHeight="1" x14ac:dyDescent="0.2"/>
    <row r="278" spans="1:38" ht="15.75" customHeight="1" x14ac:dyDescent="0.2"/>
    <row r="279" spans="1:38" ht="15.75" customHeight="1" x14ac:dyDescent="0.2"/>
    <row r="280" spans="1:38" ht="15.75" customHeight="1" x14ac:dyDescent="0.2"/>
    <row r="281" spans="1:38" ht="15.75" customHeight="1" x14ac:dyDescent="0.2"/>
    <row r="282" spans="1:38" ht="15.75" customHeight="1" x14ac:dyDescent="0.2"/>
    <row r="283" spans="1:38" ht="15.75" customHeight="1" x14ac:dyDescent="0.2"/>
    <row r="284" spans="1:38" ht="15.75" customHeight="1" x14ac:dyDescent="0.2"/>
    <row r="285" spans="1:38" ht="15.75" customHeight="1" x14ac:dyDescent="0.2"/>
    <row r="286" spans="1:38" ht="15.75" customHeight="1" x14ac:dyDescent="0.2"/>
    <row r="287" spans="1:38" ht="15.75" customHeight="1" x14ac:dyDescent="0.2"/>
    <row r="288" spans="1:3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sheetData>
  <mergeCells count="8">
    <mergeCell ref="C71:N71"/>
    <mergeCell ref="C72:N72"/>
    <mergeCell ref="C56:K56"/>
    <mergeCell ref="C54:T54"/>
    <mergeCell ref="C61:N61"/>
    <mergeCell ref="C62:N62"/>
    <mergeCell ref="C65:N65"/>
    <mergeCell ref="C68:N68"/>
  </mergeCells>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Contents</vt:lpstr>
      <vt:lpstr>Notes on chart use</vt:lpstr>
      <vt:lpstr>1 ASP REFERRALS</vt:lpstr>
      <vt:lpstr>2-3 INQUIRIES</vt:lpstr>
      <vt:lpstr>Conversion data</vt:lpstr>
      <vt:lpstr>4 CCs</vt:lpstr>
      <vt:lpstr>5-7 CC ATTENDEES</vt:lpstr>
      <vt:lpstr>8-9 ASPPs &amp; POWERS</vt:lpstr>
      <vt:lpstr>10-11 ACTIONS TAKEN</vt:lpstr>
      <vt:lpstr>13 AGE &amp; GENDER</vt:lpstr>
      <vt:lpstr>14 ETHNICITY</vt:lpstr>
      <vt:lpstr>15 TYPES OF HARM</vt:lpstr>
      <vt:lpstr>16 LOCATION OF HARM</vt:lpstr>
      <vt:lpstr>17 CLIENT GROUP</vt:lpstr>
      <vt:lpstr>18 CARING RESPONSIBILITIES</vt:lpstr>
      <vt:lpstr>19 LSIs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McTier</dc:creator>
  <cp:lastModifiedBy>Ian Phillip</cp:lastModifiedBy>
  <dcterms:created xsi:type="dcterms:W3CDTF">2018-11-15T10:01:00Z</dcterms:created>
  <dcterms:modified xsi:type="dcterms:W3CDTF">2026-08-31T09:57:38Z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0x010100F205731B550EFB41B89939A23DB91A22</vt:lpwstr>
  </property>
  <property fmtid="{D5CDD505-2E9C-101B-9397-08002B2CF9AE}" pid="3" name="_dlc_DocIdItemGuid">
    <vt:lpwstr>c7dd6324-4759-4a50-96dd-351f3000aa03</vt:lpwstr>
  </property>
</Properties>
</file>